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odel" sheetId="1" state="visible" r:id="rId1"/>
    <sheet name="Option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####"/>
  </numFmts>
  <fonts count="14">
    <font>
      <name val="Carlito"/>
      <sz val="11"/>
    </font>
    <font>
      <name val="Carlito"/>
      <b val="1"/>
      <sz val="11"/>
    </font>
    <font>
      <name val="Calibri"/>
      <b val="1"/>
      <color rgb="FF000000"/>
      <sz val="12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00000000"/>
    </font>
    <font>
      <name val="Calibri"/>
      <color rgb="00000000"/>
    </font>
    <font>
      <name val="Carlito"/>
      <color rgb="00000000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Liberation Sans"/>
      <b val="1"/>
      <color rgb="FF000000"/>
      <sz val="10"/>
    </font>
    <font>
      <name val="Liberation Sans"/>
      <color rgb="FF000000"/>
      <sz val="10"/>
    </font>
    <font>
      <name val="Liberation Sans"/>
      <sz val="10"/>
    </font>
    <font>
      <name val="Liberation Sans"/>
      <b val="1"/>
      <sz val="10"/>
    </font>
  </fonts>
  <fills count="2">
    <fill>
      <patternFill/>
    </fill>
    <fill>
      <patternFill patternType="gray125"/>
    </fill>
  </fills>
  <borders count="4">
    <border/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5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1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pivotButton="0" quotePrefix="0" xfId="0"/>
    <xf numFmtId="0" fontId="0" fillId="0" borderId="2" pivotButton="0" quotePrefix="0" xfId="0"/>
    <xf numFmtId="0" fontId="4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3" applyAlignment="1" pivotButton="0" quotePrefix="0" xfId="0">
      <alignment horizontal="left" vertical="top"/>
    </xf>
    <xf numFmtId="0" fontId="0" fillId="0" borderId="3" pivotButton="0" quotePrefix="0" xfId="0"/>
    <xf numFmtId="164" fontId="6" fillId="0" borderId="3" applyAlignment="1" pivotButton="0" quotePrefix="0" xfId="0">
      <alignment horizontal="left" vertical="top"/>
    </xf>
    <xf numFmtId="164" fontId="6" fillId="0" borderId="0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 wrapText="1"/>
    </xf>
    <xf numFmtId="0" fontId="7" fillId="0" borderId="1" pivotButton="0" quotePrefix="0" xfId="0"/>
    <xf numFmtId="164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8" fillId="0" borderId="1" pivotButton="0" quotePrefix="0" xfId="0"/>
    <xf numFmtId="0" fontId="9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165" fontId="7" fillId="0" borderId="1" pivotButton="0" quotePrefix="0" xfId="0"/>
    <xf numFmtId="0" fontId="10" fillId="0" borderId="1" applyAlignment="1" pivotButton="0" quotePrefix="0" xfId="0">
      <alignment wrapText="1"/>
    </xf>
    <xf numFmtId="0" fontId="11" fillId="0" borderId="1" pivotButton="0" quotePrefix="0" xfId="0"/>
    <xf numFmtId="0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0" fontId="11" fillId="0" borderId="1" applyAlignment="1" pivotButton="0" quotePrefix="0" xfId="0">
      <alignment horizontal="left" vertical="top"/>
    </xf>
    <xf numFmtId="164" fontId="11" fillId="0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8" customWidth="1" min="3" max="3"/>
    <col width="10" customWidth="1" min="4" max="4"/>
    <col width="52" customWidth="1" min="5" max="5"/>
    <col width="12" customWidth="1" min="6" max="6"/>
  </cols>
  <sheetData>
    <row r="1">
      <c r="A1" s="42" t="inlineStr">
        <is>
          <t>Levitating chess coil-density model</t>
        </is>
      </c>
      <c r="B1" s="42" t="n"/>
      <c r="C1" s="42" t="n"/>
      <c r="D1" s="42" t="n"/>
      <c r="E1" s="42" t="n"/>
      <c r="F1" s="42" t="n"/>
      <c r="G1" s="42" t="n"/>
    </row>
    <row r="2">
      <c r="A2" s="41" t="n"/>
      <c r="B2" s="41" t="n"/>
      <c r="C2" s="41" t="n"/>
      <c r="D2" s="41" t="n"/>
      <c r="E2" s="41" t="n"/>
      <c r="F2" s="41" t="n"/>
      <c r="G2" s="41" t="n"/>
    </row>
    <row r="3">
      <c r="A3" s="42" t="inlineStr">
        <is>
          <t>Design inputs</t>
        </is>
      </c>
      <c r="B3" s="42" t="n"/>
      <c r="C3" s="42" t="n"/>
      <c r="D3" s="42" t="n"/>
      <c r="E3" s="42" t="n"/>
      <c r="F3" s="42" t="n"/>
      <c r="G3" s="42" t="n"/>
    </row>
    <row r="4">
      <c r="A4" s="41" t="inlineStr">
        <is>
          <t>Input</t>
        </is>
      </c>
      <c r="B4" s="41" t="inlineStr">
        <is>
          <t>Magnet cube edge (s)</t>
        </is>
      </c>
      <c r="C4" s="41" t="n">
        <v>3</v>
      </c>
      <c r="D4" s="41" t="inlineStr">
        <is>
          <t>mm</t>
        </is>
      </c>
      <c r="E4" s="41" t="inlineStr">
        <is>
          <t>cube edge; height = edge; pole pitch = magnets x edge</t>
        </is>
      </c>
      <c r="F4" s="41" t="n"/>
      <c r="G4" s="41" t="n"/>
    </row>
    <row r="5">
      <c r="A5" s="41" t="inlineStr">
        <is>
          <t>Input</t>
        </is>
      </c>
      <c r="B5" s="41" t="inlineStr">
        <is>
          <t>Magnets per pole</t>
        </is>
      </c>
      <c r="C5" s="41" t="n">
        <v>2</v>
      </c>
      <c r="D5" s="41" t="n"/>
      <c r="E5" s="41" t="inlineStr">
        <is>
          <t>cube-buildable Halbach, 90 deg magnetization steps</t>
        </is>
      </c>
      <c r="F5" s="41" t="n"/>
      <c r="G5" s="41" t="n"/>
    </row>
    <row r="6">
      <c r="A6" s="41" t="inlineStr">
        <is>
          <t>Input</t>
        </is>
      </c>
      <c r="B6" s="41" t="inlineStr">
        <is>
          <t>Poles per side</t>
        </is>
      </c>
      <c r="C6" s="41" t="n">
        <v>4</v>
      </c>
      <c r="D6" s="41" t="inlineStr">
        <is>
          <t>poles</t>
        </is>
      </c>
      <c r="E6" s="41" t="inlineStr">
        <is>
          <t>Halbach poles across one platform side</t>
        </is>
      </c>
      <c r="F6" s="41" t="n"/>
      <c r="G6" s="41" t="n"/>
    </row>
    <row r="7">
      <c r="A7" s="41" t="inlineStr">
        <is>
          <t>Input</t>
        </is>
      </c>
      <c r="B7" s="41" t="inlineStr">
        <is>
          <t>Magnet-to-coil distance</t>
        </is>
      </c>
      <c r="C7" s="41" t="n">
        <v>3</v>
      </c>
      <c r="D7" s="41" t="inlineStr">
        <is>
          <t>mm</t>
        </is>
      </c>
      <c r="E7" s="41" t="n"/>
      <c r="F7" s="41" t="n"/>
      <c r="G7" s="41" t="n"/>
    </row>
    <row r="8">
      <c r="A8" s="41" t="inlineStr">
        <is>
          <t>Input</t>
        </is>
      </c>
      <c r="B8" s="41" t="inlineStr">
        <is>
          <t>Plastic wall thickness</t>
        </is>
      </c>
      <c r="C8" s="41" t="n">
        <v>1.5</v>
      </c>
      <c r="D8" s="41" t="inlineStr">
        <is>
          <t>mm</t>
        </is>
      </c>
      <c r="E8" s="41" t="inlineStr">
        <is>
          <t>3D-printed hollow shell wall</t>
        </is>
      </c>
      <c r="F8" s="41" t="n"/>
      <c r="G8" s="41" t="n"/>
    </row>
    <row r="9">
      <c r="A9" s="41" t="inlineStr">
        <is>
          <t>Input</t>
        </is>
      </c>
      <c r="B9" s="41" t="inlineStr">
        <is>
          <t>DC bus voltage</t>
        </is>
      </c>
      <c r="C9" s="41" t="n">
        <v>5</v>
      </c>
      <c r="D9" s="41" t="inlineStr">
        <is>
          <t>V</t>
        </is>
      </c>
      <c r="E9" s="41" t="n"/>
      <c r="F9" s="41" t="n"/>
      <c r="G9" s="41" t="n"/>
    </row>
    <row r="10">
      <c r="A10" s="41" t="inlineStr">
        <is>
          <t>Input</t>
        </is>
      </c>
      <c r="B10" s="41" t="inlineStr">
        <is>
          <t>Max current per winding</t>
        </is>
      </c>
      <c r="C10" s="41" t="n">
        <v>0.03</v>
      </c>
      <c r="D10" s="41" t="inlineStr">
        <is>
          <t>A</t>
        </is>
      </c>
      <c r="E10" s="41" t="n"/>
      <c r="F10" s="41" t="n"/>
      <c r="G10" s="41" t="n"/>
    </row>
    <row r="11">
      <c r="A11" s="41" t="inlineStr">
        <is>
          <t>Input</t>
        </is>
      </c>
      <c r="B11" s="41" t="inlineStr">
        <is>
          <t>Move pulse duration</t>
        </is>
      </c>
      <c r="C11" s="41" t="n">
        <v>10</v>
      </c>
      <c r="D11" s="41" t="inlineStr">
        <is>
          <t>s</t>
        </is>
      </c>
      <c r="E11" s="41" t="n"/>
      <c r="F11" s="41" t="n"/>
      <c r="G11" s="41" t="n"/>
    </row>
    <row r="12">
      <c r="A12" s="41" t="inlineStr">
        <is>
          <t>Input</t>
        </is>
      </c>
      <c r="B12" s="41" t="inlineStr">
        <is>
          <t>Allowed wire temp rise after pulse</t>
        </is>
      </c>
      <c r="C12" s="41" t="n">
        <v>40</v>
      </c>
      <c r="D12" s="41" t="inlineStr">
        <is>
          <t>C</t>
        </is>
      </c>
      <c r="E12" s="41" t="n"/>
      <c r="F12" s="41" t="n"/>
      <c r="G12" s="41" t="n"/>
    </row>
    <row r="13">
      <c r="A13" s="41" t="inlineStr">
        <is>
          <t>Input</t>
        </is>
      </c>
      <c r="B13" s="41" t="inlineStr">
        <is>
          <t>Force safety factor</t>
        </is>
      </c>
      <c r="C13" s="41" t="n">
        <v>1.3</v>
      </c>
      <c r="D13" s="41" t="inlineStr">
        <is>
          <t>x</t>
        </is>
      </c>
      <c r="E13" s="41" t="inlineStr">
        <is>
          <t>Required force = piece weight * SF</t>
        </is>
      </c>
      <c r="F13" s="41" t="n"/>
      <c r="G13" s="41" t="n"/>
    </row>
    <row r="14">
      <c r="A14" s="41" t="inlineStr">
        <is>
          <t>Input</t>
        </is>
      </c>
      <c r="B14" s="41" t="inlineStr">
        <is>
          <t>Control loop bandwidth margin</t>
        </is>
      </c>
      <c r="C14" s="41" t="n">
        <v>5</v>
      </c>
      <c r="D14" s="41" t="inlineStr">
        <is>
          <t>x</t>
        </is>
      </c>
      <c r="E14" s="41" t="inlineStr">
        <is>
          <t>loop must be this many times faster than the instability</t>
        </is>
      </c>
      <c r="F14" s="41" t="n"/>
      <c r="G14" s="41" t="n"/>
    </row>
    <row r="15">
      <c r="A15" s="41" t="inlineStr">
        <is>
          <t>Input</t>
        </is>
      </c>
      <c r="B15" s="41" t="inlineStr">
        <is>
          <t>Pieces levitating simultaneously (worst case)</t>
        </is>
      </c>
      <c r="C15" s="41" t="n">
        <v>32</v>
      </c>
      <c r="D15" s="41" t="inlineStr">
        <is>
          <t>pieces</t>
        </is>
      </c>
      <c r="E15" s="41" t="inlineStr">
        <is>
          <t>all pieces moving at once (e.g. reset) = worst case</t>
        </is>
      </c>
      <c r="F15" s="41" t="n"/>
      <c r="G15" s="41" t="n"/>
    </row>
    <row r="16">
      <c r="A16" s="41" t="inlineStr">
        <is>
          <t>Input</t>
        </is>
      </c>
      <c r="B16" s="41" t="inlineStr">
        <is>
          <t>Sense look-ahead factor</t>
        </is>
      </c>
      <c r="C16" s="41" t="n">
        <v>1.5</v>
      </c>
      <c r="D16" s="41" t="inlineStr">
        <is>
          <t>x</t>
        </is>
      </c>
      <c r="E16" s="41" t="inlineStr">
        <is>
          <t>extra coils scanned around each piece to track motion</t>
        </is>
      </c>
      <c r="F16" s="41" t="n"/>
      <c r="G16" s="41" t="n"/>
    </row>
    <row r="17">
      <c r="A17" s="41" t="n"/>
      <c r="B17" s="41" t="n"/>
      <c r="C17" s="41" t="n"/>
      <c r="D17" s="41" t="n"/>
      <c r="E17" s="41" t="n"/>
      <c r="F17" s="41" t="n"/>
      <c r="G17" s="41" t="n"/>
    </row>
    <row r="18">
      <c r="A18" s="42" t="inlineStr">
        <is>
          <t>Fixed parameters</t>
        </is>
      </c>
      <c r="B18" s="42" t="n"/>
      <c r="C18" s="42" t="n"/>
      <c r="D18" s="42" t="n"/>
      <c r="E18" s="42" t="n"/>
      <c r="F18" s="42" t="n"/>
      <c r="G18" s="42" t="n"/>
    </row>
    <row r="19">
      <c r="A19" s="53" t="inlineStr">
        <is>
          <t>Fixed</t>
        </is>
      </c>
      <c r="B19" s="53" t="inlineStr">
        <is>
          <t>Base material clearance around Halbach</t>
        </is>
      </c>
      <c r="C19" s="53" t="n">
        <v>1</v>
      </c>
      <c r="D19" s="53" t="inlineStr">
        <is>
          <t>mm</t>
        </is>
      </c>
      <c r="E19" s="53" t="inlineStr">
        <is>
          <t>Added to round base diameter</t>
        </is>
      </c>
      <c r="F19" s="41" t="n"/>
      <c r="G19" s="41" t="n"/>
    </row>
    <row r="20">
      <c r="A20" s="53" t="inlineStr">
        <is>
          <t>Fixed</t>
        </is>
      </c>
      <c r="B20" s="53" t="inlineStr">
        <is>
          <t>Square fill ratio</t>
        </is>
      </c>
      <c r="C20" s="53" t="n">
        <v>0.8</v>
      </c>
      <c r="D20" s="53" t="n"/>
      <c r="E20" s="53" t="inlineStr">
        <is>
          <t>Round base / square size</t>
        </is>
      </c>
      <c r="F20" s="41" t="n"/>
      <c r="G20" s="41" t="n"/>
    </row>
    <row r="21">
      <c r="A21" s="53" t="inlineStr">
        <is>
          <t>Fixed</t>
        </is>
      </c>
      <c r="B21" s="53" t="inlineStr">
        <is>
          <t>Captured pieces total</t>
        </is>
      </c>
      <c r="C21" s="53" t="n">
        <v>32</v>
      </c>
      <c r="D21" s="53" t="inlineStr">
        <is>
          <t>pieces</t>
        </is>
      </c>
      <c r="E21" s="53" t="inlineStr">
        <is>
          <t>Side storage capacity</t>
        </is>
      </c>
      <c r="F21" s="41" t="n"/>
      <c r="G21" s="41" t="n"/>
    </row>
    <row r="22">
      <c r="A22" s="53" t="inlineStr">
        <is>
          <t>Fixed</t>
        </is>
      </c>
      <c r="B22" s="53" t="inlineStr">
        <is>
          <t>Captured side areas</t>
        </is>
      </c>
      <c r="C22" s="53" t="n">
        <v>2</v>
      </c>
      <c r="D22" s="53" t="inlineStr">
        <is>
          <t>areas</t>
        </is>
      </c>
      <c r="E22" s="53" t="inlineStr">
        <is>
          <t>Left/right</t>
        </is>
      </c>
      <c r="F22" s="41" t="n"/>
      <c r="G22" s="41" t="n"/>
    </row>
    <row r="23">
      <c r="A23" s="53" t="inlineStr">
        <is>
          <t>Fixed</t>
        </is>
      </c>
      <c r="B23" s="53" t="inlineStr">
        <is>
          <t>Captured packing efficiency</t>
        </is>
      </c>
      <c r="C23" s="53" t="n">
        <v>0.9</v>
      </c>
      <c r="D23" s="53" t="n"/>
      <c r="E23" s="53" t="inlineStr">
        <is>
          <t>Tight side storage</t>
        </is>
      </c>
      <c r="F23" s="41" t="n"/>
      <c r="G23" s="41" t="n"/>
    </row>
    <row r="24">
      <c r="A24" s="53" t="inlineStr">
        <is>
          <t>Fixed</t>
        </is>
      </c>
      <c r="B24" s="53" t="inlineStr">
        <is>
          <t>Herringbone orientation families</t>
        </is>
      </c>
      <c r="C24" s="53" t="n">
        <v>2</v>
      </c>
      <c r="D24" s="53" t="n"/>
      <c r="E24" s="53" t="inlineStr">
        <is>
          <t>two coil directions for planar (x,y) force</t>
        </is>
      </c>
      <c r="F24" s="41" t="n"/>
      <c r="G24" s="41" t="n"/>
    </row>
    <row r="25">
      <c r="A25" s="53" t="inlineStr">
        <is>
          <t>Fixed</t>
        </is>
      </c>
      <c r="B25" s="53" t="inlineStr">
        <is>
          <t>Halbach first-harmonic coefficient</t>
        </is>
      </c>
      <c r="C25" s="53" t="n">
        <v>0.65</v>
      </c>
      <c r="D25" s="53" t="n"/>
      <c r="E25" s="53" t="inlineStr">
        <is>
          <t>Simplified first harmonic</t>
        </is>
      </c>
      <c r="F25" s="41" t="n"/>
      <c r="G25" s="41" t="n"/>
    </row>
    <row r="26">
      <c r="A26" s="53" t="inlineStr">
        <is>
          <t>Fixed</t>
        </is>
      </c>
      <c r="B26" s="53" t="inlineStr">
        <is>
          <t>Reference king height</t>
        </is>
      </c>
      <c r="C26" s="53" t="n">
        <v>95</v>
      </c>
      <c r="D26" s="53" t="inlineStr">
        <is>
          <t>mm</t>
        </is>
      </c>
      <c r="E26" s="53" t="inlineStr">
        <is>
          <t>standard king height</t>
        </is>
      </c>
      <c r="F26" s="41" t="n"/>
      <c r="G26" s="41" t="n"/>
    </row>
    <row r="27">
      <c r="A27" s="53" t="inlineStr">
        <is>
          <t>Fixed</t>
        </is>
      </c>
      <c r="B27" s="53" t="inlineStr">
        <is>
          <t>Reference king base diameter</t>
        </is>
      </c>
      <c r="C27" s="53" t="n">
        <v>44</v>
      </c>
      <c r="D27" s="53" t="inlineStr">
        <is>
          <t>mm</t>
        </is>
      </c>
      <c r="E27" s="53" t="inlineStr">
        <is>
          <t>standard king base</t>
        </is>
      </c>
      <c r="F27" s="41" t="n"/>
      <c r="G27" s="41" t="n"/>
    </row>
    <row r="28">
      <c r="A28" s="53" t="inlineStr">
        <is>
          <t>Fixed</t>
        </is>
      </c>
      <c r="B28" s="53" t="inlineStr">
        <is>
          <t>Wire enamel outside factor</t>
        </is>
      </c>
      <c r="C28" s="53" t="n">
        <v>1.08</v>
      </c>
      <c r="D28" s="53" t="n"/>
      <c r="E28" s="53" t="n"/>
      <c r="F28" s="41" t="n"/>
      <c r="G28" s="41" t="n"/>
    </row>
    <row r="29">
      <c r="A29" s="53" t="inlineStr">
        <is>
          <t>Fixed</t>
        </is>
      </c>
      <c r="B29" s="53" t="inlineStr">
        <is>
          <t>Coil aspect ratio L/W (target)</t>
        </is>
      </c>
      <c r="C29" s="53" t="n">
        <v>2.5</v>
      </c>
      <c r="D29" s="53" t="n"/>
      <c r="E29" s="53" t="inlineStr">
        <is>
          <t>used only to pick how many coils tile the platform length</t>
        </is>
      </c>
      <c r="F29" s="41" t="n"/>
      <c r="G29" s="41" t="n"/>
    </row>
    <row r="30">
      <c r="A30" s="53" t="inlineStr">
        <is>
          <t>Fixed</t>
        </is>
      </c>
      <c r="B30" s="53" t="inlineStr">
        <is>
          <t>Winding radial width factor</t>
        </is>
      </c>
      <c r="C30" s="53" t="n">
        <v>0.35</v>
      </c>
      <c r="D30" s="53" t="n"/>
      <c r="E30" s="53" t="inlineStr">
        <is>
          <t>x coil outer width</t>
        </is>
      </c>
      <c r="F30" s="41" t="n"/>
      <c r="G30" s="41" t="n"/>
    </row>
    <row r="31">
      <c r="A31" s="53" t="inlineStr">
        <is>
          <t>Fixed</t>
        </is>
      </c>
      <c r="B31" s="53" t="inlineStr">
        <is>
          <t>Force straight-length efficiency</t>
        </is>
      </c>
      <c r="C31" s="53" t="n">
        <v>0.65</v>
      </c>
      <c r="D31" s="53" t="n"/>
      <c r="E31" s="53" t="inlineStr">
        <is>
          <t>Phase/fringe allowance</t>
        </is>
      </c>
      <c r="F31" s="41" t="n"/>
      <c r="G31" s="41" t="n"/>
    </row>
    <row r="32">
      <c r="A32" s="53" t="inlineStr">
        <is>
          <t>Fixed</t>
        </is>
      </c>
      <c r="B32" s="53" t="inlineStr">
        <is>
          <t>LED/current sink channels per chip</t>
        </is>
      </c>
      <c r="C32" s="53" t="n">
        <v>16</v>
      </c>
      <c r="D32" s="53" t="inlineStr">
        <is>
          <t>channels</t>
        </is>
      </c>
      <c r="E32" s="53" t="n"/>
      <c r="F32" s="41" t="n"/>
      <c r="G32" s="41" t="n"/>
    </row>
    <row r="33">
      <c r="A33" s="53" t="inlineStr">
        <is>
          <t>Fixed</t>
        </is>
      </c>
      <c r="B33" s="53" t="inlineStr">
        <is>
          <t>Usable bus voltage fraction</t>
        </is>
      </c>
      <c r="C33" s="53" t="n">
        <v>0.9</v>
      </c>
      <c r="D33" s="53" t="n"/>
      <c r="E33" s="53" t="inlineStr">
        <is>
          <t>Headroom for driver losses</t>
        </is>
      </c>
      <c r="F33" s="41" t="n"/>
      <c r="G33" s="41" t="n"/>
    </row>
    <row r="34">
      <c r="A34" s="53" t="inlineStr">
        <is>
          <t>Fixed</t>
        </is>
      </c>
      <c r="B34" s="53" t="inlineStr">
        <is>
          <t>LDC1614 sample rate per channel</t>
        </is>
      </c>
      <c r="C34" s="53" t="n">
        <v>4000</v>
      </c>
      <c r="D34" s="53" t="inlineStr">
        <is>
          <t>sps</t>
        </is>
      </c>
      <c r="E34" s="53" t="inlineStr">
        <is>
          <t>datasheet config-dependent</t>
        </is>
      </c>
      <c r="F34" s="41" t="n"/>
      <c r="G34" s="41" t="n"/>
    </row>
    <row r="35">
      <c r="A35" s="53" t="inlineStr">
        <is>
          <t>Fixed</t>
        </is>
      </c>
      <c r="B35" s="53" t="inlineStr">
        <is>
          <t>Coils per sense channel (mux 16:1)</t>
        </is>
      </c>
      <c r="C35" s="53" t="n">
        <v>16</v>
      </c>
      <c r="D35" s="53" t="inlineStr">
        <is>
          <t>coils</t>
        </is>
      </c>
      <c r="E35" s="53" t="inlineStr">
        <is>
          <t>CD74HC4067 time-shares this many coils on one channel</t>
        </is>
      </c>
      <c r="F35" s="41" t="n"/>
      <c r="G35" s="41" t="n"/>
    </row>
    <row r="36">
      <c r="A36" s="54" t="inlineStr">
        <is>
          <t>Constants</t>
        </is>
      </c>
      <c r="B36" s="54" t="n"/>
      <c r="C36" s="54" t="n"/>
      <c r="D36" s="54" t="n"/>
      <c r="E36" s="54" t="n"/>
      <c r="F36" s="41" t="n"/>
      <c r="G36" s="41" t="n"/>
    </row>
    <row r="37">
      <c r="A37" s="53" t="inlineStr">
        <is>
          <t>Constant</t>
        </is>
      </c>
      <c r="B37" s="53" t="inlineStr">
        <is>
          <t>Board squares per side</t>
        </is>
      </c>
      <c r="C37" s="53" t="n">
        <v>8</v>
      </c>
      <c r="D37" s="53" t="n"/>
      <c r="E37" s="53" t="inlineStr">
        <is>
          <t>chess board is 8x8</t>
        </is>
      </c>
      <c r="F37" s="42" t="n"/>
      <c r="G37" s="42" t="n"/>
    </row>
    <row r="38">
      <c r="A38" s="41" t="inlineStr">
        <is>
          <t>Constant</t>
        </is>
      </c>
      <c r="B38" s="41" t="inlineStr">
        <is>
          <t>NdFeB remanence Br</t>
        </is>
      </c>
      <c r="C38" s="41" t="n">
        <v>1.24</v>
      </c>
      <c r="D38" s="41" t="inlineStr">
        <is>
          <t>T</t>
        </is>
      </c>
      <c r="E38" s="41" t="n"/>
      <c r="F38" s="41" t="n"/>
      <c r="G38" s="41" t="n"/>
    </row>
    <row r="39">
      <c r="A39" s="41" t="inlineStr">
        <is>
          <t>Constant</t>
        </is>
      </c>
      <c r="B39" s="41" t="inlineStr">
        <is>
          <t>NdFeB density</t>
        </is>
      </c>
      <c r="C39" s="41" t="n">
        <v>0.0075</v>
      </c>
      <c r="D39" s="41" t="inlineStr">
        <is>
          <t>g/mm3</t>
        </is>
      </c>
      <c r="E39" s="41" t="n"/>
      <c r="F39" s="41" t="n"/>
      <c r="G39" s="41" t="n"/>
    </row>
    <row r="40">
      <c r="A40" s="41" t="inlineStr">
        <is>
          <t>Constant</t>
        </is>
      </c>
      <c r="B40" s="41" t="inlineStr">
        <is>
          <t>Plastic density</t>
        </is>
      </c>
      <c r="C40" s="41" t="n">
        <v>0.0012</v>
      </c>
      <c r="D40" s="41" t="inlineStr">
        <is>
          <t>g/mm3</t>
        </is>
      </c>
      <c r="E40" s="41" t="inlineStr">
        <is>
          <t>typical 3D-print plastic (g/cm3 scale)</t>
        </is>
      </c>
      <c r="F40" s="41" t="n"/>
      <c r="G40" s="41" t="n"/>
    </row>
    <row r="41">
      <c r="A41" s="41" t="inlineStr">
        <is>
          <t>Constant</t>
        </is>
      </c>
      <c r="B41" s="41" t="inlineStr">
        <is>
          <t>Copper resistivity</t>
        </is>
      </c>
      <c r="C41" s="41" t="n">
        <v>1.724e-08</v>
      </c>
      <c r="D41" s="41" t="inlineStr">
        <is>
          <t>ohm.m</t>
        </is>
      </c>
      <c r="E41" s="41" t="n"/>
      <c r="F41" s="41" t="n"/>
      <c r="G41" s="41" t="n"/>
    </row>
    <row r="42">
      <c r="A42" s="41" t="inlineStr">
        <is>
          <t>Constant</t>
        </is>
      </c>
      <c r="B42" s="41" t="inlineStr">
        <is>
          <t>Copper density</t>
        </is>
      </c>
      <c r="C42" s="41" t="n">
        <v>8960</v>
      </c>
      <c r="D42" s="41" t="inlineStr">
        <is>
          <t>kg/m3</t>
        </is>
      </c>
      <c r="E42" s="41" t="n"/>
      <c r="F42" s="41" t="n"/>
      <c r="G42" s="41" t="n"/>
    </row>
    <row r="43">
      <c r="A43" s="41" t="inlineStr">
        <is>
          <t>Constant</t>
        </is>
      </c>
      <c r="B43" s="41" t="inlineStr">
        <is>
          <t>Copper heat capacity</t>
        </is>
      </c>
      <c r="C43" s="41" t="n">
        <v>385</v>
      </c>
      <c r="D43" s="41" t="inlineStr">
        <is>
          <t>J/kg.C</t>
        </is>
      </c>
      <c r="E43" s="41" t="n"/>
      <c r="F43" s="41" t="n"/>
      <c r="G43" s="41" t="n"/>
    </row>
    <row r="44">
      <c r="A44" s="41" t="n"/>
      <c r="B44" s="41" t="n"/>
      <c r="C44" s="41" t="n"/>
      <c r="D44" s="41" t="n"/>
      <c r="E44" s="41" t="n"/>
      <c r="F44" s="41" t="n"/>
      <c r="G44" s="41" t="n"/>
    </row>
    <row r="45">
      <c r="A45" s="42" t="inlineStr">
        <is>
          <t>Platform and board geometry</t>
        </is>
      </c>
      <c r="B45" s="42" t="n"/>
      <c r="C45" s="42" t="n"/>
      <c r="D45" s="42" t="n"/>
      <c r="E45" s="42" t="n"/>
      <c r="F45" s="42" t="n"/>
      <c r="G45" s="42" t="n"/>
    </row>
    <row r="46">
      <c r="A46" s="41" t="inlineStr">
        <is>
          <t>Calc</t>
        </is>
      </c>
      <c r="B46" s="41" t="inlineStr">
        <is>
          <t>Magnetic pole pitch</t>
        </is>
      </c>
      <c r="C46" s="41">
        <f>C5*C4</f>
        <v/>
      </c>
      <c r="D46" s="41" t="inlineStr">
        <is>
          <t>mm</t>
        </is>
      </c>
      <c r="E46" s="41" t="inlineStr">
        <is>
          <t>tau = magnets per pole x cube edge</t>
        </is>
      </c>
      <c r="F46" s="41" t="n"/>
      <c r="G46" s="41" t="n"/>
    </row>
    <row r="47">
      <c r="A47" s="41" t="inlineStr">
        <is>
          <t>Calc</t>
        </is>
      </c>
      <c r="B47" s="41" t="inlineStr">
        <is>
          <t>Platform square side</t>
        </is>
      </c>
      <c r="C47" s="41">
        <f>C6*C46</f>
        <v/>
      </c>
      <c r="D47" s="41" t="inlineStr">
        <is>
          <t>mm</t>
        </is>
      </c>
      <c r="E47" s="41" t="inlineStr">
        <is>
          <t>poles x pole pitch</t>
        </is>
      </c>
      <c r="F47" s="41" t="n"/>
      <c r="G47" s="41" t="n"/>
    </row>
    <row r="48">
      <c r="A48" s="41" t="inlineStr">
        <is>
          <t>Calc</t>
        </is>
      </c>
      <c r="B48" s="41" t="inlineStr">
        <is>
          <t>Round base diameter</t>
        </is>
      </c>
      <c r="C48" s="41">
        <f>C47*SQRT(2)+C19</f>
        <v/>
      </c>
      <c r="D48" s="41" t="inlineStr">
        <is>
          <t>mm</t>
        </is>
      </c>
      <c r="E48" s="41" t="n"/>
      <c r="F48" s="41" t="n"/>
      <c r="G48" s="41" t="n"/>
    </row>
    <row r="49">
      <c r="A49" s="41" t="inlineStr">
        <is>
          <t>Calc</t>
        </is>
      </c>
      <c r="B49" s="41" t="inlineStr">
        <is>
          <t>Chess square size</t>
        </is>
      </c>
      <c r="C49" s="41">
        <f>C48/C20</f>
        <v/>
      </c>
      <c r="D49" s="41" t="inlineStr">
        <is>
          <t>mm</t>
        </is>
      </c>
      <c r="E49" s="41" t="n"/>
      <c r="F49" s="41" t="n"/>
      <c r="G49" s="41" t="n"/>
    </row>
    <row r="50">
      <c r="A50" s="41" t="inlineStr">
        <is>
          <t>Calc</t>
        </is>
      </c>
      <c r="B50" s="41" t="inlineStr">
        <is>
          <t>Active board side</t>
        </is>
      </c>
      <c r="C50" s="41">
        <f>C37*C49</f>
        <v/>
      </c>
      <c r="D50" s="41" t="inlineStr">
        <is>
          <t>mm</t>
        </is>
      </c>
      <c r="E50" s="41" t="n"/>
      <c r="F50" s="41" t="n"/>
      <c r="G50" s="41" t="n"/>
    </row>
    <row r="51">
      <c r="A51" s="41" t="inlineStr">
        <is>
          <t>Calc</t>
        </is>
      </c>
      <c r="B51" s="41" t="inlineStr">
        <is>
          <t>Captured pieces per side</t>
        </is>
      </c>
      <c r="C51" s="41">
        <f>CEILING(C21/C22,1)</f>
        <v/>
      </c>
      <c r="D51" s="41" t="inlineStr">
        <is>
          <t>pieces</t>
        </is>
      </c>
      <c r="E51" s="41" t="n"/>
      <c r="F51" s="41" t="n"/>
      <c r="G51" s="41" t="n"/>
    </row>
    <row r="52">
      <c r="A52" s="41" t="inlineStr">
        <is>
          <t>Calc</t>
        </is>
      </c>
      <c r="B52" s="41" t="inlineStr">
        <is>
          <t>Captured rows per side</t>
        </is>
      </c>
      <c r="C52" s="41">
        <f>MAX(1,FLOOR(C50/C48,1))</f>
        <v/>
      </c>
      <c r="D52" s="41" t="inlineStr">
        <is>
          <t>rows</t>
        </is>
      </c>
      <c r="E52" s="41" t="n"/>
      <c r="F52" s="41" t="n"/>
      <c r="G52" s="41" t="n"/>
    </row>
    <row r="53">
      <c r="A53" s="41" t="inlineStr">
        <is>
          <t>Calc</t>
        </is>
      </c>
      <c r="B53" s="41" t="inlineStr">
        <is>
          <t>Captured columns per side</t>
        </is>
      </c>
      <c r="C53" s="41">
        <f>CEILING(C51/C52,1)</f>
        <v/>
      </c>
      <c r="D53" s="41" t="inlineStr">
        <is>
          <t>cols</t>
        </is>
      </c>
      <c r="E53" s="41" t="n"/>
      <c r="F53" s="41" t="n"/>
      <c r="G53" s="41" t="n"/>
    </row>
    <row r="54">
      <c r="A54" s="41" t="inlineStr">
        <is>
          <t>Calc</t>
        </is>
      </c>
      <c r="B54" s="41" t="inlineStr">
        <is>
          <t>Side storage width each</t>
        </is>
      </c>
      <c r="C54" s="41">
        <f>C53*C48/C23 + C48*0.15</f>
        <v/>
      </c>
      <c r="D54" s="41" t="inlineStr">
        <is>
          <t>mm</t>
        </is>
      </c>
      <c r="E54" s="41" t="n"/>
      <c r="F54" s="41" t="n"/>
      <c r="G54" s="41" t="n"/>
    </row>
    <row r="55">
      <c r="A55" s="41" t="inlineStr">
        <is>
          <t>Calc</t>
        </is>
      </c>
      <c r="B55" s="41" t="inlineStr">
        <is>
          <t>Total motor width</t>
        </is>
      </c>
      <c r="C55" s="41">
        <f>C50 + C22*C54</f>
        <v/>
      </c>
      <c r="D55" s="41" t="inlineStr">
        <is>
          <t>mm</t>
        </is>
      </c>
      <c r="E55" s="41" t="n"/>
      <c r="F55" s="41" t="n"/>
      <c r="G55" s="41" t="n"/>
    </row>
    <row r="56">
      <c r="A56" s="41" t="inlineStr">
        <is>
          <t>Calc</t>
        </is>
      </c>
      <c r="B56" s="41" t="inlineStr">
        <is>
          <t>Total motor height</t>
        </is>
      </c>
      <c r="C56" s="41">
        <f>C50</f>
        <v/>
      </c>
      <c r="D56" s="41" t="inlineStr">
        <is>
          <t>mm</t>
        </is>
      </c>
      <c r="E56" s="41" t="n"/>
      <c r="F56" s="41" t="n"/>
      <c r="G56" s="41" t="n"/>
    </row>
    <row r="57">
      <c r="A57" s="41" t="inlineStr">
        <is>
          <t>Calc</t>
        </is>
      </c>
      <c r="B57" s="41" t="inlineStr">
        <is>
          <t>Total motor area</t>
        </is>
      </c>
      <c r="C57" s="41">
        <f>C55*C56</f>
        <v/>
      </c>
      <c r="D57" s="41" t="inlineStr">
        <is>
          <t>mm2</t>
        </is>
      </c>
      <c r="E57" s="41" t="n"/>
      <c r="F57" s="41" t="n"/>
      <c r="G57" s="41" t="n"/>
    </row>
    <row r="58">
      <c r="A58" s="41" t="n"/>
      <c r="B58" s="41" t="n"/>
      <c r="C58" s="41" t="n"/>
      <c r="D58" s="41" t="n"/>
      <c r="E58" s="41" t="n"/>
      <c r="F58" s="41" t="n"/>
      <c r="G58" s="41" t="n"/>
    </row>
    <row r="59">
      <c r="A59" s="42" t="inlineStr">
        <is>
          <t>Coil geometry (derived from pole pitch)</t>
        </is>
      </c>
      <c r="B59" s="42" t="n"/>
      <c r="C59" s="42" t="n"/>
      <c r="D59" s="42" t="n"/>
      <c r="E59" s="42" t="n"/>
      <c r="F59" s="42" t="n"/>
      <c r="G59" s="42" t="n"/>
    </row>
    <row r="60">
      <c r="A60" s="41" t="inlineStr">
        <is>
          <t>Calc</t>
        </is>
      </c>
      <c r="B60" s="41" t="inlineStr">
        <is>
          <t>Coil outer width</t>
        </is>
      </c>
      <c r="C60" s="41">
        <f>C46</f>
        <v/>
      </c>
      <c r="D60" s="41" t="inlineStr">
        <is>
          <t>mm</t>
        </is>
      </c>
      <c r="E60" s="41" t="inlineStr">
        <is>
          <t>pole pitch; the two force sides straddle one pole (N and S)</t>
        </is>
      </c>
      <c r="F60" s="41" t="n"/>
      <c r="G60" s="41" t="n"/>
    </row>
    <row r="61">
      <c r="A61" s="41" t="inlineStr">
        <is>
          <t>Calc</t>
        </is>
      </c>
      <c r="B61" s="41" t="inlineStr">
        <is>
          <t>Coil columns across width</t>
        </is>
      </c>
      <c r="C61" s="41">
        <f>C6</f>
        <v/>
      </c>
      <c r="D61" s="41" t="inlineStr">
        <is>
          <t>cols</t>
        </is>
      </c>
      <c r="E61" s="41" t="inlineStr">
        <is>
          <t>platform / coil width = one coil column per pole</t>
        </is>
      </c>
      <c r="F61" s="41" t="n"/>
      <c r="G61" s="41" t="n"/>
    </row>
    <row r="62">
      <c r="A62" s="41" t="inlineStr">
        <is>
          <t>Calc</t>
        </is>
      </c>
      <c r="B62" s="41" t="inlineStr">
        <is>
          <t>Coil rows along length</t>
        </is>
      </c>
      <c r="C62" s="41">
        <f>MAX(1,ROUND(C47/(C29*C60),0))</f>
        <v/>
      </c>
      <c r="D62" s="41" t="inlineStr">
        <is>
          <t>rows</t>
        </is>
      </c>
      <c r="E62" s="41" t="inlineStr">
        <is>
          <t>chosen so length/width is near the target aspect</t>
        </is>
      </c>
      <c r="F62" s="41" t="n"/>
      <c r="G62" s="41" t="n"/>
    </row>
    <row r="63">
      <c r="A63" s="41" t="inlineStr">
        <is>
          <t>Calc</t>
        </is>
      </c>
      <c r="B63" s="41" t="inlineStr">
        <is>
          <t>Coil outer length</t>
        </is>
      </c>
      <c r="C63" s="41">
        <f>C47/C62</f>
        <v/>
      </c>
      <c r="D63" s="41" t="inlineStr">
        <is>
          <t>mm</t>
        </is>
      </c>
      <c r="E63" s="41" t="inlineStr">
        <is>
          <t>platform tiled into this many rows</t>
        </is>
      </c>
      <c r="F63" s="41" t="n"/>
      <c r="G63" s="41" t="n"/>
    </row>
    <row r="64">
      <c r="A64" s="41" t="inlineStr">
        <is>
          <t>Calc</t>
        </is>
      </c>
      <c r="B64" s="41" t="inlineStr">
        <is>
          <t>Coil aspect ratio (actual)</t>
        </is>
      </c>
      <c r="C64" s="41">
        <f>C63/C60</f>
        <v/>
      </c>
      <c r="D64" s="41" t="n"/>
      <c r="E64" s="41" t="n"/>
      <c r="F64" s="41" t="n"/>
      <c r="G64" s="41" t="n"/>
    </row>
    <row r="65">
      <c r="A65" s="41" t="inlineStr">
        <is>
          <t>Calc</t>
        </is>
      </c>
      <c r="B65" s="41" t="inlineStr">
        <is>
          <t>Coil bodies per orientation under platform</t>
        </is>
      </c>
      <c r="C65" s="41">
        <f>C61*C62</f>
        <v/>
      </c>
      <c r="D65" s="41" t="inlineStr">
        <is>
          <t>bodies</t>
        </is>
      </c>
      <c r="E65" s="41" t="n"/>
      <c r="F65" s="41" t="n"/>
      <c r="G65" s="41" t="n"/>
    </row>
    <row r="66">
      <c r="A66" s="41" t="inlineStr">
        <is>
          <t>Calc</t>
        </is>
      </c>
      <c r="B66" s="41" t="inlineStr">
        <is>
          <t>Coil bodies under platform</t>
        </is>
      </c>
      <c r="C66" s="41">
        <f>C24*C65</f>
        <v/>
      </c>
      <c r="D66" s="41" t="inlineStr">
        <is>
          <t>bodies</t>
        </is>
      </c>
      <c r="E66" s="41" t="inlineStr">
        <is>
          <t>derived: both orientations stacked over one piece tile</t>
        </is>
      </c>
      <c r="F66" s="41" t="n"/>
      <c r="G66" s="41" t="n"/>
    </row>
    <row r="67">
      <c r="A67" s="41" t="inlineStr">
        <is>
          <t>Calc</t>
        </is>
      </c>
      <c r="B67" s="41" t="inlineStr">
        <is>
          <t>Coil body footprint area</t>
        </is>
      </c>
      <c r="C67" s="41">
        <f>C60*C63</f>
        <v/>
      </c>
      <c r="D67" s="41" t="inlineStr">
        <is>
          <t>mm2</t>
        </is>
      </c>
      <c r="E67" s="41" t="n"/>
      <c r="F67" s="41" t="n"/>
      <c r="G67" s="41" t="n"/>
    </row>
    <row r="68">
      <c r="A68" s="41" t="inlineStr">
        <is>
          <t>Calc</t>
        </is>
      </c>
      <c r="B68" s="41" t="inlineStr">
        <is>
          <t>Coil body density</t>
        </is>
      </c>
      <c r="C68" s="41">
        <f>C66/(C47^2)</f>
        <v/>
      </c>
      <c r="D68" s="41" t="inlineStr">
        <is>
          <t>bodies/mm2</t>
        </is>
      </c>
      <c r="E68" s="41" t="n"/>
      <c r="F68" s="41" t="n"/>
      <c r="G68" s="41" t="n"/>
    </row>
    <row r="69">
      <c r="A69" s="41" t="inlineStr">
        <is>
          <t>Calc</t>
        </is>
      </c>
      <c r="B69" s="41" t="inlineStr">
        <is>
          <t>Equivalent coil spacing</t>
        </is>
      </c>
      <c r="C69" s="41">
        <f>SQRT(1/C68)</f>
        <v/>
      </c>
      <c r="D69" s="41" t="inlineStr">
        <is>
          <t>mm</t>
        </is>
      </c>
      <c r="E69" s="41" t="n"/>
      <c r="F69" s="41" t="n"/>
      <c r="G69" s="41" t="n"/>
    </row>
    <row r="70">
      <c r="A70" s="41" t="inlineStr">
        <is>
          <t>Calc</t>
        </is>
      </c>
      <c r="B70" s="41" t="inlineStr">
        <is>
          <t>Total bifilar coil bodies</t>
        </is>
      </c>
      <c r="C70" s="41">
        <f>CEILING(C57*C68,1)</f>
        <v/>
      </c>
      <c r="D70" s="41" t="inlineStr">
        <is>
          <t>bodies</t>
        </is>
      </c>
      <c r="E70" s="41" t="n"/>
      <c r="F70" s="41" t="n"/>
      <c r="G70" s="41" t="n"/>
    </row>
    <row r="71">
      <c r="A71" s="41" t="inlineStr">
        <is>
          <t>Calc</t>
        </is>
      </c>
      <c r="B71" s="41" t="inlineStr">
        <is>
          <t>Electrical windings per coil body</t>
        </is>
      </c>
      <c r="C71" s="41" t="n">
        <v>2</v>
      </c>
      <c r="D71" s="41" t="inlineStr">
        <is>
          <t>windings</t>
        </is>
      </c>
      <c r="E71" s="41" t="inlineStr">
        <is>
          <t>+ and -</t>
        </is>
      </c>
      <c r="F71" s="41" t="n"/>
      <c r="G71" s="41" t="n"/>
    </row>
    <row r="72">
      <c r="A72" s="41" t="inlineStr">
        <is>
          <t>Calc</t>
        </is>
      </c>
      <c r="B72" s="41" t="inlineStr">
        <is>
          <t>Total windings / driver outputs</t>
        </is>
      </c>
      <c r="C72" s="41">
        <f>C70*C71</f>
        <v/>
      </c>
      <c r="D72" s="41" t="inlineStr">
        <is>
          <t>outputs</t>
        </is>
      </c>
      <c r="E72" s="41" t="n"/>
      <c r="F72" s="41" t="n"/>
      <c r="G72" s="41" t="n"/>
    </row>
    <row r="73">
      <c r="A73" s="41" t="inlineStr">
        <is>
          <t>Calc</t>
        </is>
      </c>
      <c r="B73" s="41" t="inlineStr">
        <is>
          <t>16-channel driver chips</t>
        </is>
      </c>
      <c r="C73" s="41">
        <f>CEILING(C72/C32,1)</f>
        <v/>
      </c>
      <c r="D73" s="41" t="inlineStr">
        <is>
          <t>chips</t>
        </is>
      </c>
      <c r="E73" s="41" t="n"/>
      <c r="F73" s="41" t="n"/>
      <c r="G73" s="41" t="n"/>
    </row>
    <row r="74">
      <c r="A74" s="41" t="n"/>
      <c r="B74" s="41" t="n"/>
      <c r="C74" s="41" t="n"/>
      <c r="D74" s="41" t="n"/>
      <c r="E74" s="41" t="n"/>
      <c r="F74" s="41" t="n"/>
      <c r="G74" s="41" t="n"/>
    </row>
    <row r="75">
      <c r="A75" s="54" t="inlineStr">
        <is>
          <t>Magnet array</t>
        </is>
      </c>
      <c r="B75" s="53" t="n"/>
      <c r="C75" s="53" t="n"/>
      <c r="D75" s="53" t="n"/>
      <c r="E75" s="53" t="n"/>
      <c r="F75" s="53" t="n"/>
      <c r="G75" s="53" t="n"/>
    </row>
    <row r="76">
      <c r="A76" s="53" t="inlineStr">
        <is>
          <t>Calc</t>
        </is>
      </c>
      <c r="B76" s="53" t="inlineStr">
        <is>
          <t>Magnet blocks per side</t>
        </is>
      </c>
      <c r="C76" s="53">
        <f>C6*C5</f>
        <v/>
      </c>
      <c r="D76" s="53" t="n"/>
      <c r="E76" s="53" t="n"/>
      <c r="F76" s="53" t="n"/>
      <c r="G76" s="53" t="n"/>
    </row>
    <row r="77">
      <c r="A77" s="53" t="inlineStr">
        <is>
          <t>Calc</t>
        </is>
      </c>
      <c r="B77" s="53" t="inlineStr">
        <is>
          <t>Magnet block volume</t>
        </is>
      </c>
      <c r="C77" s="53">
        <f>C4^3</f>
        <v/>
      </c>
      <c r="D77" s="53" t="n"/>
      <c r="E77" s="53" t="n"/>
      <c r="F77" s="53" t="n"/>
      <c r="G77" s="53" t="n"/>
    </row>
    <row r="78">
      <c r="A78" s="53" t="inlineStr">
        <is>
          <t>Calc</t>
        </is>
      </c>
      <c r="B78" s="53" t="inlineStr">
        <is>
          <t>Magnet blocks per platform</t>
        </is>
      </c>
      <c r="C78" s="53">
        <f>C76^2</f>
        <v/>
      </c>
      <c r="D78" s="53" t="n"/>
      <c r="E78" s="53" t="n"/>
      <c r="F78" s="53" t="n"/>
      <c r="G78" s="53" t="n"/>
    </row>
    <row r="79">
      <c r="A79" s="53" t="inlineStr">
        <is>
          <t>Calc</t>
        </is>
      </c>
      <c r="B79" s="53" t="inlineStr">
        <is>
          <t>Magnet block mass</t>
        </is>
      </c>
      <c r="C79" s="53">
        <f>C77*C39</f>
        <v/>
      </c>
      <c r="D79" s="53" t="n"/>
      <c r="E79" s="53" t="n"/>
      <c r="F79" s="53" t="n"/>
      <c r="G79" s="53" t="n"/>
    </row>
    <row r="80">
      <c r="A80" s="53" t="inlineStr">
        <is>
          <t>Calc</t>
        </is>
      </c>
      <c r="B80" s="53" t="inlineStr">
        <is>
          <t>Magnet mass total (real)</t>
        </is>
      </c>
      <c r="C80" s="53">
        <f>C78*C79</f>
        <v/>
      </c>
      <c r="D80" s="53" t="n"/>
      <c r="E80" s="53" t="n"/>
      <c r="F80" s="53" t="n"/>
      <c r="G80" s="53" t="n"/>
    </row>
    <row r="81">
      <c r="A81" s="53" t="n"/>
      <c r="B81" s="53" t="n"/>
      <c r="C81" s="53" t="n"/>
      <c r="D81" s="53" t="n"/>
      <c r="E81" s="53" t="n"/>
      <c r="F81" s="53" t="n"/>
      <c r="G81" s="53" t="n"/>
    </row>
    <row r="82">
      <c r="A82" s="53" t="inlineStr">
        <is>
          <t>Calc</t>
        </is>
      </c>
      <c r="B82" s="53" t="inlineStr">
        <is>
          <t>Halbach decay constant</t>
        </is>
      </c>
      <c r="C82" s="53">
        <f>SQRT(2)*PI()/C46</f>
        <v/>
      </c>
      <c r="D82" s="53" t="n"/>
      <c r="E82" s="53" t="n"/>
      <c r="F82" s="53" t="n"/>
      <c r="G82" s="53" t="n"/>
    </row>
    <row r="83">
      <c r="A83" s="53" t="inlineStr">
        <is>
          <t>Calc</t>
        </is>
      </c>
      <c r="B83" s="53" t="inlineStr">
        <is>
          <t>Magnet thickness factor</t>
        </is>
      </c>
      <c r="C83" s="53">
        <f>1-EXP(-C82*C4)</f>
        <v/>
      </c>
      <c r="D83" s="53" t="n"/>
      <c r="E83" s="53" t="n"/>
      <c r="F83" s="53" t="n"/>
      <c r="G83" s="53" t="n"/>
    </row>
    <row r="84">
      <c r="A84" s="53" t="inlineStr">
        <is>
          <t>Calc</t>
        </is>
      </c>
      <c r="B84" s="53" t="inlineStr">
        <is>
          <t>Distance decay factor</t>
        </is>
      </c>
      <c r="C84" s="53">
        <f>EXP(-C82*C7)</f>
        <v/>
      </c>
      <c r="D84" s="53" t="n"/>
      <c r="E84" s="53" t="n"/>
      <c r="F84" s="53" t="n"/>
      <c r="G84" s="53" t="n"/>
    </row>
    <row r="85">
      <c r="A85" s="53" t="inlineStr">
        <is>
          <t>Calc</t>
        </is>
      </c>
      <c r="B85" s="53" t="inlineStr">
        <is>
          <t>Estimated effective B at coils</t>
        </is>
      </c>
      <c r="C85" s="53">
        <f>C38*C25*C83*C84</f>
        <v/>
      </c>
      <c r="D85" s="53" t="n"/>
      <c r="E85" s="53" t="n"/>
      <c r="F85" s="53" t="n"/>
      <c r="G85" s="53" t="n"/>
    </row>
    <row r="86">
      <c r="A86" s="53" t="n"/>
      <c r="B86" s="53" t="n"/>
      <c r="C86" s="53" t="n"/>
      <c r="D86" s="53" t="n"/>
      <c r="E86" s="53" t="n"/>
      <c r="F86" s="53" t="n"/>
      <c r="G86" s="53" t="n"/>
    </row>
    <row r="87">
      <c r="A87" s="54" t="inlineStr">
        <is>
          <t>Piece mass</t>
        </is>
      </c>
      <c r="B87" s="53" t="n"/>
      <c r="C87" s="53" t="n"/>
      <c r="D87" s="53" t="n"/>
      <c r="E87" s="53" t="n"/>
      <c r="F87" s="53" t="n"/>
      <c r="G87" s="53" t="n"/>
    </row>
    <row r="88">
      <c r="A88" s="53" t="inlineStr">
        <is>
          <t>Calc</t>
        </is>
      </c>
      <c r="B88" s="53" t="inlineStr">
        <is>
          <t>Size scale (base / reference)</t>
        </is>
      </c>
      <c r="C88" s="53">
        <f>C48/C27</f>
        <v/>
      </c>
      <c r="D88" s="53" t="n"/>
      <c r="E88" s="53" t="n"/>
      <c r="F88" s="53" t="n"/>
      <c r="G88" s="53" t="n"/>
    </row>
    <row r="89">
      <c r="A89" s="53" t="inlineStr">
        <is>
          <t>Calc</t>
        </is>
      </c>
      <c r="B89" s="53" t="inlineStr">
        <is>
          <t>Box height (scaled king)</t>
        </is>
      </c>
      <c r="C89" s="53">
        <f>C26*C88</f>
        <v/>
      </c>
      <c r="D89" s="53" t="n"/>
      <c r="E89" s="53" t="n"/>
      <c r="F89" s="53" t="n"/>
      <c r="G89" s="53" t="n"/>
    </row>
    <row r="90">
      <c r="A90" s="53" t="inlineStr">
        <is>
          <t>Calc</t>
        </is>
      </c>
      <c r="B90" s="53" t="inlineStr">
        <is>
          <t>Cylinder diameter (= base)</t>
        </is>
      </c>
      <c r="C90" s="53">
        <f>C48</f>
        <v/>
      </c>
      <c r="D90" s="53" t="n"/>
      <c r="E90" s="53" t="n"/>
      <c r="F90" s="53" t="n"/>
      <c r="G90" s="53" t="n"/>
    </row>
    <row r="91">
      <c r="A91" s="53" t="inlineStr">
        <is>
          <t>Calc</t>
        </is>
      </c>
      <c r="B91" s="53" t="inlineStr">
        <is>
          <t>Plastic shell volume</t>
        </is>
      </c>
      <c r="C91" s="53">
        <f>PI()/4*(C90^2*C89-(C90-2*C8)^2*(C89-2*C8))</f>
        <v/>
      </c>
      <c r="D91" s="53" t="n"/>
      <c r="E91" s="53" t="n"/>
      <c r="F91" s="53" t="n"/>
      <c r="G91" s="53" t="n"/>
    </row>
    <row r="92">
      <c r="A92" s="53" t="inlineStr">
        <is>
          <t>Calc</t>
        </is>
      </c>
      <c r="B92" s="53" t="inlineStr">
        <is>
          <t>Plastic shell mass</t>
        </is>
      </c>
      <c r="C92" s="53">
        <f>C91*C40</f>
        <v/>
      </c>
      <c r="D92" s="53" t="n"/>
      <c r="E92" s="53" t="n"/>
      <c r="F92" s="53" t="n"/>
      <c r="G92" s="53" t="n"/>
    </row>
    <row r="93">
      <c r="A93" s="53" t="inlineStr">
        <is>
          <t>Calc</t>
        </is>
      </c>
      <c r="B93" s="53" t="inlineStr">
        <is>
          <t>Mass warning</t>
        </is>
      </c>
      <c r="C93" s="53">
        <f>IF((C90-2*C8)&lt;=0,"wall too thick for body","")</f>
        <v/>
      </c>
      <c r="D93" s="53" t="n"/>
      <c r="E93" s="53" t="n"/>
      <c r="F93" s="53" t="n"/>
      <c r="G93" s="53" t="n"/>
    </row>
    <row r="94">
      <c r="A94" s="53" t="inlineStr">
        <is>
          <t>Calc</t>
        </is>
      </c>
      <c r="B94" s="53" t="inlineStr">
        <is>
          <t>Piece mass (real)</t>
        </is>
      </c>
      <c r="C94" s="53">
        <f>C92+C80</f>
        <v/>
      </c>
      <c r="D94" s="53" t="n"/>
      <c r="E94" s="53" t="n"/>
      <c r="F94" s="53" t="n"/>
      <c r="G94" s="53" t="n"/>
    </row>
    <row r="95">
      <c r="A95" s="53" t="inlineStr">
        <is>
          <t>Calc</t>
        </is>
      </c>
      <c r="B95" s="53" t="inlineStr">
        <is>
          <t>Magnet mass fraction</t>
        </is>
      </c>
      <c r="C95" s="53">
        <f>C80/C94</f>
        <v/>
      </c>
      <c r="D95" s="53" t="n"/>
      <c r="E95" s="53" t="n"/>
      <c r="F95" s="53" t="n"/>
      <c r="G95" s="53" t="n"/>
    </row>
    <row r="96">
      <c r="A96" s="53" t="n"/>
      <c r="B96" s="53" t="n"/>
      <c r="C96" s="53" t="n"/>
      <c r="D96" s="53" t="n"/>
      <c r="E96" s="53" t="n"/>
      <c r="F96" s="53" t="n"/>
      <c r="G96" s="53" t="n"/>
    </row>
    <row r="97">
      <c r="A97" s="42" t="inlineStr">
        <is>
          <t>Force</t>
        </is>
      </c>
      <c r="B97" s="53" t="n"/>
      <c r="C97" s="53" t="n"/>
      <c r="D97" s="53" t="n"/>
      <c r="E97" s="53" t="n"/>
      <c r="F97" s="53" t="n"/>
      <c r="G97" s="53" t="n"/>
    </row>
    <row r="98">
      <c r="A98" s="41" t="inlineStr">
        <is>
          <t>Calc</t>
        </is>
      </c>
      <c r="B98" s="41" t="inlineStr">
        <is>
          <t>Piece weight</t>
        </is>
      </c>
      <c r="C98" s="41">
        <f>C94/1000*9.80665</f>
        <v/>
      </c>
      <c r="D98" s="41" t="inlineStr">
        <is>
          <t>N</t>
        </is>
      </c>
      <c r="E98" s="53" t="n"/>
      <c r="F98" s="53" t="n"/>
      <c r="G98" s="53" t="n"/>
    </row>
    <row r="99">
      <c r="A99" s="41" t="inlineStr">
        <is>
          <t>Calc</t>
        </is>
      </c>
      <c r="B99" s="41" t="inlineStr">
        <is>
          <t>Force needed per coil body</t>
        </is>
      </c>
      <c r="C99" s="41">
        <f>C98/C66</f>
        <v/>
      </c>
      <c r="D99" s="41" t="inlineStr">
        <is>
          <t>N</t>
        </is>
      </c>
      <c r="E99" s="41" t="inlineStr">
        <is>
          <t>baseline at 1.0x lift</t>
        </is>
      </c>
      <c r="F99" s="53" t="n"/>
      <c r="G99" s="53" t="n"/>
    </row>
    <row r="100">
      <c r="A100" s="41" t="inlineStr">
        <is>
          <t>Calc</t>
        </is>
      </c>
      <c r="B100" s="41" t="inlineStr">
        <is>
          <t>Useful straight length per turn</t>
        </is>
      </c>
      <c r="C100" s="41">
        <f>2*(C63-C60*C30)*C31</f>
        <v/>
      </c>
      <c r="D100" s="41" t="inlineStr">
        <is>
          <t>mm</t>
        </is>
      </c>
      <c r="E100" s="53" t="n"/>
      <c r="F100" s="53" t="n"/>
      <c r="G100" s="53" t="n"/>
    </row>
    <row r="101">
      <c r="A101" s="41" t="inlineStr">
        <is>
          <t>Calc</t>
        </is>
      </c>
      <c r="B101" s="41" t="inlineStr">
        <is>
          <t>Required ampere-turns per coil body</t>
        </is>
      </c>
      <c r="C101" s="41">
        <f>C99*C13/(C85*(C100/1000))</f>
        <v/>
      </c>
      <c r="D101" s="41" t="inlineStr">
        <is>
          <t>A.turns</t>
        </is>
      </c>
      <c r="E101" s="53" t="n"/>
      <c r="F101" s="53" t="n"/>
      <c r="G101" s="53" t="n"/>
    </row>
    <row r="102">
      <c r="A102" s="41" t="inlineStr">
        <is>
          <t>Calc</t>
        </is>
      </c>
      <c r="B102" s="41" t="inlineStr">
        <is>
          <t>Required turns at max current</t>
        </is>
      </c>
      <c r="C102" s="41">
        <f>CEILING(C101/C10,1)</f>
        <v/>
      </c>
      <c r="D102" s="41" t="inlineStr">
        <is>
          <t>turns</t>
        </is>
      </c>
      <c r="E102" s="53" t="n"/>
      <c r="F102" s="53" t="n"/>
      <c r="G102" s="53" t="n"/>
    </row>
    <row r="103">
      <c r="A103" s="41" t="inlineStr">
        <is>
          <t>Calc</t>
        </is>
      </c>
      <c r="B103" s="41" t="inlineStr">
        <is>
          <t>Force per coil body at max current</t>
        </is>
      </c>
      <c r="C103" s="41">
        <f>C10*C102*C85*(C100/1000)</f>
        <v/>
      </c>
      <c r="D103" s="41" t="inlineStr">
        <is>
          <t>N</t>
        </is>
      </c>
      <c r="E103" s="53" t="n"/>
      <c r="F103" s="53" t="n"/>
      <c r="G103" s="53" t="n"/>
    </row>
    <row r="104">
      <c r="A104" s="41" t="inlineStr">
        <is>
          <t>Calc</t>
        </is>
      </c>
      <c r="B104" s="41" t="inlineStr">
        <is>
          <t>Total force at max current</t>
        </is>
      </c>
      <c r="C104" s="41">
        <f>C103*C66</f>
        <v/>
      </c>
      <c r="D104" s="41" t="inlineStr">
        <is>
          <t>N</t>
        </is>
      </c>
      <c r="E104" s="53" t="n"/>
      <c r="F104" s="53" t="n"/>
      <c r="G104" s="53" t="n"/>
    </row>
    <row r="105">
      <c r="A105" s="41" t="inlineStr">
        <is>
          <t>Calc</t>
        </is>
      </c>
      <c r="B105" s="41" t="inlineStr">
        <is>
          <t>Force margin at max current</t>
        </is>
      </c>
      <c r="C105" s="41">
        <f>C104/C98</f>
        <v/>
      </c>
      <c r="D105" s="41" t="inlineStr">
        <is>
          <t>x</t>
        </is>
      </c>
      <c r="E105" s="53" t="n"/>
      <c r="F105" s="53" t="n"/>
      <c r="G105" s="53" t="n"/>
    </row>
    <row r="106">
      <c r="A106" s="53" t="n"/>
      <c r="B106" s="53" t="n"/>
      <c r="C106" s="53" t="n"/>
      <c r="D106" s="53" t="n"/>
      <c r="E106" s="53" t="n"/>
      <c r="F106" s="53" t="n"/>
      <c r="G106" s="53" t="n"/>
    </row>
    <row r="107">
      <c r="A107" s="42" t="inlineStr">
        <is>
          <t>Wire and thermal</t>
        </is>
      </c>
      <c r="B107" s="53" t="n"/>
      <c r="C107" s="53" t="n"/>
      <c r="D107" s="53" t="n"/>
      <c r="E107" s="53" t="n"/>
      <c r="F107" s="53" t="n"/>
      <c r="G107" s="53" t="n"/>
    </row>
    <row r="108">
      <c r="A108" s="41" t="inlineStr">
        <is>
          <t>Calc</t>
        </is>
      </c>
      <c r="B108" s="41" t="inlineStr">
        <is>
          <t>Average wire length per turn</t>
        </is>
      </c>
      <c r="C108" s="41">
        <f>2*((C63-C60*C30)+(C60-C60*C30))</f>
        <v/>
      </c>
      <c r="D108" s="41" t="inlineStr">
        <is>
          <t>mm</t>
        </is>
      </c>
      <c r="E108" s="53" t="n"/>
      <c r="F108" s="53" t="n"/>
      <c r="G108" s="53" t="n"/>
    </row>
    <row r="109">
      <c r="A109" s="41" t="inlineStr">
        <is>
          <t>Calc</t>
        </is>
      </c>
      <c r="B109" s="41" t="inlineStr">
        <is>
          <t>Wire length per winding</t>
        </is>
      </c>
      <c r="C109" s="41">
        <f>C102*C108/1000</f>
        <v/>
      </c>
      <c r="D109" s="41" t="inlineStr">
        <is>
          <t>m</t>
        </is>
      </c>
      <c r="E109" s="53" t="n"/>
      <c r="F109" s="53" t="n"/>
      <c r="G109" s="53" t="n"/>
    </row>
    <row r="110">
      <c r="A110" s="41" t="inlineStr">
        <is>
          <t>Calc</t>
        </is>
      </c>
      <c r="B110" s="41" t="inlineStr">
        <is>
          <t>Thermal-limited copper diameter</t>
        </is>
      </c>
      <c r="C110" s="41">
        <f>SQRT(4*SQRT((C10^2*C41*C11)/(C42*C43*C12))/PI())*1000</f>
        <v/>
      </c>
      <c r="D110" s="41" t="inlineStr">
        <is>
          <t>mm</t>
        </is>
      </c>
      <c r="E110" s="53" t="n"/>
      <c r="F110" s="53" t="n"/>
      <c r="G110" s="53" t="n"/>
    </row>
    <row r="111">
      <c r="A111" s="41" t="inlineStr">
        <is>
          <t>Calc</t>
        </is>
      </c>
      <c r="B111" s="41" t="inlineStr">
        <is>
          <t>Voltage-limited copper diameter</t>
        </is>
      </c>
      <c r="C111" s="41">
        <f>SQRT(4*(C41*C109/(C9*C33/C10))/PI())*1000</f>
        <v/>
      </c>
      <c r="D111" s="41" t="inlineStr">
        <is>
          <t>mm</t>
        </is>
      </c>
      <c r="E111" s="53" t="n"/>
      <c r="F111" s="53" t="n"/>
      <c r="G111" s="53" t="n"/>
    </row>
    <row r="112">
      <c r="A112" s="41" t="inlineStr">
        <is>
          <t>Calc</t>
        </is>
      </c>
      <c r="B112" s="41" t="inlineStr">
        <is>
          <t>Required (ideal) copper diameter</t>
        </is>
      </c>
      <c r="C112" s="41">
        <f>MAX(C110,C111)</f>
        <v/>
      </c>
      <c r="D112" s="41" t="inlineStr">
        <is>
          <t>mm</t>
        </is>
      </c>
      <c r="E112" s="53" t="n"/>
      <c r="F112" s="53" t="n"/>
      <c r="G112" s="53" t="n"/>
    </row>
    <row r="113">
      <c r="A113" s="41" t="inlineStr">
        <is>
          <t>Calc</t>
        </is>
      </c>
      <c r="B113" s="41" t="inlineStr">
        <is>
          <t>Selected standard wire dia</t>
        </is>
      </c>
      <c r="C113" s="41">
        <f>IFERROR(INDEX(Options!$A$27:$A$38,COUNTIF(Options!$A$27:$A$38,"&lt;"&amp;C112)+1),0)</f>
        <v/>
      </c>
      <c r="D113" s="41" t="inlineStr">
        <is>
          <t>mm</t>
        </is>
      </c>
      <c r="E113" s="41" t="inlineStr">
        <is>
          <t>next standard wire &gt;= required</t>
        </is>
      </c>
      <c r="F113" s="53" t="n"/>
      <c r="G113" s="53" t="n"/>
    </row>
    <row r="114">
      <c r="A114" s="41" t="inlineStr">
        <is>
          <t>Calc</t>
        </is>
      </c>
      <c r="B114" s="41" t="inlineStr">
        <is>
          <t>Wire outside diameter</t>
        </is>
      </c>
      <c r="C114" s="41">
        <f>C113*C28</f>
        <v/>
      </c>
      <c r="D114" s="41" t="inlineStr">
        <is>
          <t>mm</t>
        </is>
      </c>
      <c r="E114" s="53" t="n"/>
      <c r="F114" s="53" t="n"/>
      <c r="G114" s="53" t="n"/>
    </row>
    <row r="115">
      <c r="A115" s="41" t="inlineStr">
        <is>
          <t>Calc</t>
        </is>
      </c>
      <c r="B115" s="41" t="inlineStr">
        <is>
          <t>Winding radial width</t>
        </is>
      </c>
      <c r="C115" s="41">
        <f>C60*C30</f>
        <v/>
      </c>
      <c r="D115" s="41" t="inlineStr">
        <is>
          <t>mm</t>
        </is>
      </c>
      <c r="E115" s="53" t="n"/>
      <c r="F115" s="53" t="n"/>
      <c r="G115" s="53" t="n"/>
    </row>
    <row r="116">
      <c r="A116" s="41" t="inlineStr">
        <is>
          <t>Calc</t>
        </is>
      </c>
      <c r="B116" s="41" t="inlineStr">
        <is>
          <t>Bifilar wires per turn</t>
        </is>
      </c>
      <c r="C116" s="41" t="n">
        <v>2</v>
      </c>
      <c r="D116" s="41" t="inlineStr">
        <is>
          <t>wires</t>
        </is>
      </c>
      <c r="E116" s="53" t="n"/>
      <c r="F116" s="53" t="n"/>
      <c r="G116" s="53" t="n"/>
    </row>
    <row r="117">
      <c r="A117" s="41" t="inlineStr">
        <is>
          <t>Calc</t>
        </is>
      </c>
      <c r="B117" s="41" t="inlineStr">
        <is>
          <t>Turns per radial layer</t>
        </is>
      </c>
      <c r="C117" s="41">
        <f>MAX(1,FLOOR(C115/(C116*C114),1))</f>
        <v/>
      </c>
      <c r="D117" s="41" t="inlineStr">
        <is>
          <t>turns/layer</t>
        </is>
      </c>
      <c r="E117" s="53" t="n"/>
      <c r="F117" s="53" t="n"/>
      <c r="G117" s="53" t="n"/>
    </row>
    <row r="118">
      <c r="A118" s="41" t="inlineStr">
        <is>
          <t>Calc</t>
        </is>
      </c>
      <c r="B118" s="41" t="inlineStr">
        <is>
          <t>Vertical wire layers needed</t>
        </is>
      </c>
      <c r="C118" s="41">
        <f>CEILING(C102/C117,1)</f>
        <v/>
      </c>
      <c r="D118" s="41" t="inlineStr">
        <is>
          <t>layers</t>
        </is>
      </c>
      <c r="E118" s="53" t="n"/>
      <c r="F118" s="53" t="n"/>
      <c r="G118" s="53" t="n"/>
    </row>
    <row r="119">
      <c r="A119" s="41" t="inlineStr">
        <is>
          <t>Calc</t>
        </is>
      </c>
      <c r="B119" s="41" t="inlineStr">
        <is>
          <t>Coil height</t>
        </is>
      </c>
      <c r="C119" s="41">
        <f>C118*C114</f>
        <v/>
      </c>
      <c r="D119" s="41" t="inlineStr">
        <is>
          <t>mm</t>
        </is>
      </c>
      <c r="E119" s="53" t="n"/>
      <c r="F119" s="53" t="n"/>
      <c r="G119" s="53" t="n"/>
    </row>
    <row r="120">
      <c r="A120" s="41" t="inlineStr">
        <is>
          <t>Calc</t>
        </is>
      </c>
      <c r="B120" s="41" t="inlineStr">
        <is>
          <t>Copper cross-section area</t>
        </is>
      </c>
      <c r="C120" s="41">
        <f>PI()*(C113/1000)^2/4</f>
        <v/>
      </c>
      <c r="D120" s="41" t="inlineStr">
        <is>
          <t>m2</t>
        </is>
      </c>
      <c r="E120" s="53" t="n"/>
      <c r="F120" s="53" t="n"/>
      <c r="G120" s="53" t="n"/>
    </row>
    <row r="121">
      <c r="A121" s="41" t="inlineStr">
        <is>
          <t>Calc</t>
        </is>
      </c>
      <c r="B121" s="41" t="inlineStr">
        <is>
          <t>Resistance per winding</t>
        </is>
      </c>
      <c r="C121" s="41">
        <f>C41*C109/C120</f>
        <v/>
      </c>
      <c r="D121" s="41" t="inlineStr">
        <is>
          <t>ohm</t>
        </is>
      </c>
      <c r="E121" s="53" t="n"/>
      <c r="F121" s="53" t="n"/>
      <c r="G121" s="53" t="n"/>
    </row>
    <row r="122">
      <c r="A122" s="41" t="inlineStr">
        <is>
          <t>Calc</t>
        </is>
      </c>
      <c r="B122" s="41" t="inlineStr">
        <is>
          <t>Voltage per winding at max current</t>
        </is>
      </c>
      <c r="C122" s="41">
        <f>C10*C121</f>
        <v/>
      </c>
      <c r="D122" s="41" t="inlineStr">
        <is>
          <t>V</t>
        </is>
      </c>
      <c r="E122" s="53" t="n"/>
      <c r="F122" s="53" t="n"/>
      <c r="G122" s="53" t="n"/>
    </row>
    <row r="123">
      <c r="A123" s="41" t="inlineStr">
        <is>
          <t>Calc</t>
        </is>
      </c>
      <c r="B123" s="41" t="inlineStr">
        <is>
          <t>Power per winding at max current</t>
        </is>
      </c>
      <c r="C123" s="41">
        <f>C10^2*C121</f>
        <v/>
      </c>
      <c r="D123" s="41" t="inlineStr">
        <is>
          <t>W</t>
        </is>
      </c>
      <c r="E123" s="53" t="n"/>
      <c r="F123" s="53" t="n"/>
      <c r="G123" s="53" t="n"/>
    </row>
    <row r="124">
      <c r="A124" s="41" t="inlineStr">
        <is>
          <t>Calc</t>
        </is>
      </c>
      <c r="B124" s="41" t="inlineStr">
        <is>
          <t>Pulse temp rise</t>
        </is>
      </c>
      <c r="C124" s="41">
        <f>C10^2*C121*C11/(C42*C109*C120*C43)</f>
        <v/>
      </c>
      <c r="D124" s="41" t="inlineStr">
        <is>
          <t>C</t>
        </is>
      </c>
      <c r="E124" s="53" t="n"/>
      <c r="F124" s="53" t="n"/>
      <c r="G124" s="53" t="n"/>
    </row>
    <row r="125">
      <c r="A125" s="41" t="inlineStr">
        <is>
          <t>Calc</t>
        </is>
      </c>
      <c r="B125" s="41" t="inlineStr">
        <is>
          <t>Wire mass per winding</t>
        </is>
      </c>
      <c r="C125" s="41">
        <f>C42*C109*C120*1000</f>
        <v/>
      </c>
      <c r="D125" s="41" t="inlineStr">
        <is>
          <t>g</t>
        </is>
      </c>
      <c r="E125" s="53" t="n"/>
      <c r="F125" s="53" t="n"/>
      <c r="G125" s="53" t="n"/>
    </row>
    <row r="126">
      <c r="A126" s="41" t="inlineStr">
        <is>
          <t>Calc</t>
        </is>
      </c>
      <c r="B126" s="41" t="inlineStr">
        <is>
          <t>Total wire length</t>
        </is>
      </c>
      <c r="C126" s="41">
        <f>C109*C72</f>
        <v/>
      </c>
      <c r="D126" s="41" t="inlineStr">
        <is>
          <t>m</t>
        </is>
      </c>
      <c r="E126" s="53" t="n"/>
      <c r="F126" s="53" t="n"/>
      <c r="G126" s="53" t="n"/>
    </row>
    <row r="127">
      <c r="A127" s="41" t="inlineStr">
        <is>
          <t>Calc</t>
        </is>
      </c>
      <c r="B127" s="41" t="inlineStr">
        <is>
          <t>Total copper mass</t>
        </is>
      </c>
      <c r="C127" s="41">
        <f>C125*C72/1000</f>
        <v/>
      </c>
      <c r="D127" s="41" t="inlineStr">
        <is>
          <t>kg</t>
        </is>
      </c>
      <c r="E127" s="53" t="n"/>
      <c r="F127" s="53" t="n"/>
      <c r="G127" s="53" t="n"/>
    </row>
    <row r="128">
      <c r="A128" s="41" t="inlineStr">
        <is>
          <t>Calc</t>
        </is>
      </c>
      <c r="B128" s="41" t="inlineStr">
        <is>
          <t>One-piece active coil power</t>
        </is>
      </c>
      <c r="C128" s="41">
        <f>C123*C66</f>
        <v/>
      </c>
      <c r="D128" s="41" t="inlineStr">
        <is>
          <t>W</t>
        </is>
      </c>
      <c r="E128" s="41" t="inlineStr">
        <is>
          <t>One winding per body</t>
        </is>
      </c>
      <c r="F128" s="53" t="n"/>
      <c r="G128" s="53" t="n"/>
    </row>
    <row r="129">
      <c r="A129" s="41" t="inlineStr">
        <is>
          <t>Calc</t>
        </is>
      </c>
      <c r="B129" s="41" t="inlineStr">
        <is>
          <t>All board pieces simultaneous power</t>
        </is>
      </c>
      <c r="C129" s="41">
        <f>C128*C15</f>
        <v/>
      </c>
      <c r="D129" s="41" t="inlineStr">
        <is>
          <t>W</t>
        </is>
      </c>
      <c r="E129" s="53" t="n"/>
      <c r="F129" s="53" t="n"/>
      <c r="G129" s="53" t="n"/>
    </row>
    <row r="130">
      <c r="A130" s="41" t="inlineStr">
        <is>
          <t>Calc</t>
        </is>
      </c>
      <c r="B130" s="41" t="inlineStr">
        <is>
          <t>PSU current at bus</t>
        </is>
      </c>
      <c r="C130" s="41">
        <f>C129/C9</f>
        <v/>
      </c>
      <c r="D130" s="41" t="inlineStr">
        <is>
          <t>A</t>
        </is>
      </c>
      <c r="E130" s="53" t="n"/>
      <c r="F130" s="53" t="n"/>
      <c r="G130" s="53" t="n"/>
    </row>
    <row r="131">
      <c r="A131" s="53" t="n"/>
      <c r="B131" s="53" t="n"/>
      <c r="C131" s="53" t="n"/>
      <c r="D131" s="53" t="n"/>
      <c r="E131" s="53" t="n"/>
      <c r="F131" s="53" t="n"/>
      <c r="G131" s="53" t="n"/>
    </row>
    <row r="132">
      <c r="A132" s="42" t="inlineStr">
        <is>
          <t>Status checks</t>
        </is>
      </c>
      <c r="B132" s="53" t="n"/>
      <c r="C132" s="53" t="n"/>
      <c r="D132" s="53" t="n"/>
      <c r="E132" s="53" t="n"/>
      <c r="F132" s="53" t="n"/>
      <c r="G132" s="53" t="n"/>
    </row>
    <row r="133">
      <c r="A133" s="41" t="inlineStr">
        <is>
          <t>Calc</t>
        </is>
      </c>
      <c r="B133" s="41" t="inlineStr">
        <is>
          <t>Force check</t>
        </is>
      </c>
      <c r="C133" s="41">
        <f>IF(C105&gt;=1,"OK","not enough force")</f>
        <v/>
      </c>
      <c r="D133" s="53" t="n"/>
      <c r="E133" s="53" t="n"/>
      <c r="F133" s="53" t="n"/>
      <c r="G133" s="53" t="n"/>
    </row>
    <row r="134">
      <c r="A134" s="41" t="inlineStr">
        <is>
          <t>Calc</t>
        </is>
      </c>
      <c r="B134" s="41" t="inlineStr">
        <is>
          <t>Voltage check</t>
        </is>
      </c>
      <c r="C134" s="41">
        <f>IF(C122&lt;=C9*C33,"OK","voltage too high")</f>
        <v/>
      </c>
      <c r="D134" s="53" t="n"/>
      <c r="E134" s="53" t="n"/>
      <c r="F134" s="53" t="n"/>
      <c r="G134" s="53" t="n"/>
    </row>
    <row r="135">
      <c r="A135" s="41" t="inlineStr">
        <is>
          <t>Calc</t>
        </is>
      </c>
      <c r="B135" s="41" t="inlineStr">
        <is>
          <t>Thermal check</t>
        </is>
      </c>
      <c r="C135" s="41">
        <f>IF(C124&lt;=C12,"OK","too hot")</f>
        <v/>
      </c>
      <c r="D135" s="53" t="n"/>
      <c r="E135" s="53" t="n"/>
      <c r="F135" s="53" t="n"/>
      <c r="G135" s="53" t="n"/>
    </row>
    <row r="136">
      <c r="A136" s="41" t="inlineStr">
        <is>
          <t>Calc</t>
        </is>
      </c>
      <c r="B136" s="41" t="inlineStr">
        <is>
          <t>Per-orientation check</t>
        </is>
      </c>
      <c r="C136" s="41">
        <f>IF(C65&gt;=6,"OK","few coils per orientation")</f>
        <v/>
      </c>
      <c r="D136" s="53" t="n"/>
      <c r="E136" s="53" t="n"/>
      <c r="F136" s="53" t="n"/>
      <c r="G136" s="53" t="n"/>
    </row>
    <row r="137">
      <c r="A137" s="41" t="inlineStr">
        <is>
          <t>Calc</t>
        </is>
      </c>
      <c r="B137" s="41" t="inlineStr">
        <is>
          <t>Wire-availability check</t>
        </is>
      </c>
      <c r="C137" s="41">
        <f>IF(C113&gt;=C112,"OK","no standard wire &gt;= required")</f>
        <v/>
      </c>
      <c r="D137" s="53" t="n"/>
      <c r="E137" s="53" t="n"/>
      <c r="F137" s="53" t="n"/>
      <c r="G137" s="53" t="n"/>
    </row>
    <row r="138">
      <c r="A138" s="53" t="n"/>
      <c r="B138" s="53" t="n"/>
      <c r="C138" s="53" t="n"/>
      <c r="D138" s="53" t="n"/>
      <c r="E138" s="53" t="n"/>
      <c r="F138" s="53" t="n"/>
      <c r="G138" s="53" t="n"/>
    </row>
    <row r="139">
      <c r="A139" s="42" t="inlineStr">
        <is>
          <t>BOM (recommended parts, one prototype board, ASCII-only)</t>
        </is>
      </c>
      <c r="B139" s="53" t="n"/>
      <c r="C139" s="53" t="n"/>
      <c r="D139" s="53" t="n"/>
      <c r="E139" s="53" t="n"/>
      <c r="F139" s="53" t="n"/>
      <c r="G139" s="53" t="n"/>
    </row>
    <row r="140">
      <c r="A140" s="42" t="inlineStr">
        <is>
          <t>Scope: one full board with active-coil tile and Halbach piece magnets. Final selection only; alternates on Options sheet.</t>
        </is>
      </c>
      <c r="B140" s="53" t="n"/>
      <c r="C140" s="53" t="n"/>
      <c r="D140" s="53" t="n"/>
      <c r="E140" s="53" t="n"/>
      <c r="F140" s="53" t="n"/>
      <c r="G140" s="53" t="n"/>
    </row>
    <row r="141">
      <c r="A141" s="41" t="inlineStr">
        <is>
          <t>Category</t>
        </is>
      </c>
      <c r="B141" s="41" t="inlineStr">
        <is>
          <t>MPN / Spec</t>
        </is>
      </c>
      <c r="C141" s="41" t="inlineStr">
        <is>
          <t>Description</t>
        </is>
      </c>
      <c r="D141" s="41" t="inlineStr">
        <is>
          <t>Qty</t>
        </is>
      </c>
      <c r="E141" s="41" t="inlineStr">
        <is>
          <t>Unit $</t>
        </is>
      </c>
      <c r="F141" s="41" t="inlineStr">
        <is>
          <t>Subtotal $</t>
        </is>
      </c>
      <c r="G141" s="41" t="inlineStr">
        <is>
          <t>Link / source</t>
        </is>
      </c>
    </row>
    <row r="142">
      <c r="A142" s="41" t="inlineStr">
        <is>
          <t>Coil driver IC</t>
        </is>
      </c>
      <c r="B142" s="41" t="inlineStr">
        <is>
          <t>TLC59283DBQR</t>
        </is>
      </c>
      <c r="C142" s="41" t="inlineStr">
        <is>
          <t>16-ch constant-current LED sink, 5V, SSOP-24, external flyback</t>
        </is>
      </c>
      <c r="D142" s="41">
        <f>C73</f>
        <v/>
      </c>
      <c r="E142" s="41" t="n">
        <v>0.373</v>
      </c>
      <c r="F142" s="41">
        <f>D142*E142</f>
        <v/>
      </c>
      <c r="G142" s="41">
        <f>HYPERLINK("https://www.digikey.com/en/products/result?keywords=TLC59283DBQR","Digikey: TLC59283DBQR")</f>
        <v/>
      </c>
    </row>
    <row r="143">
      <c r="A143" s="41" t="inlineStr">
        <is>
          <t>Flyback diode</t>
        </is>
      </c>
      <c r="B143" s="41" t="inlineStr">
        <is>
          <t>1N4148WS-7-F</t>
        </is>
      </c>
      <c r="C143" s="41" t="inlineStr">
        <is>
          <t>100V 150mA fast switching, SOD-323, one per driver output</t>
        </is>
      </c>
      <c r="D143" s="41">
        <f>C72</f>
        <v/>
      </c>
      <c r="E143" s="41" t="n">
        <v>0.04</v>
      </c>
      <c r="F143" s="41">
        <f>D143*E143</f>
        <v/>
      </c>
      <c r="G143" s="41">
        <f>HYPERLINK("https://www.digikey.com/en/products/result?keywords=1N4148WS-7-F","Digikey: 1N4148WS-7-F")</f>
        <v/>
      </c>
    </row>
    <row r="144">
      <c r="A144" s="41" t="inlineStr">
        <is>
          <t>Magnet wire</t>
        </is>
      </c>
      <c r="B144" s="41" t="inlineStr">
        <is>
          <t>QA-1-155 0.05 mm, 1 kg (AE 4000274595791)</t>
        </is>
      </c>
      <c r="C144" s="41" t="inlineStr">
        <is>
          <t>Bulk enameled copper magnet wire (155 C class), 1 kg roll. Diameter per Model wire auto-select.</t>
        </is>
      </c>
      <c r="D144" s="41">
        <f>CEILING(C127,1)</f>
        <v/>
      </c>
      <c r="E144" s="41" t="n">
        <v>43</v>
      </c>
      <c r="F144" s="41">
        <f>D144*E144</f>
        <v/>
      </c>
      <c r="G144" s="41">
        <f>HYPERLINK("https://fr.aliexpress.com/item/4000274595791.html","Aliexpress: 0.05 mm 1kg")</f>
        <v/>
      </c>
    </row>
    <row r="145">
      <c r="A145" s="41" t="inlineStr">
        <is>
          <t>NdFeB magnet block</t>
        </is>
      </c>
      <c r="B145" s="41" t="inlineStr">
        <is>
          <t>N42 magnet block, square footprint x height (cube)</t>
        </is>
      </c>
      <c r="C145" s="41" t="inlineStr">
        <is>
          <t>One N42 cube per Halbach position; magnets per piece set by the Halbach array, across all pieces. Standard through-magnetized cubes oriented in assembly to form the array. Approx per-piece cost at 1k+ qty; excludes shipping/VAT and assembly labor.</t>
        </is>
      </c>
      <c r="D145" s="41">
        <f>C78*C15</f>
        <v/>
      </c>
      <c r="E145" s="41" t="n">
        <v>0.028</v>
      </c>
      <c r="F145" s="41">
        <f>D145*E145</f>
        <v/>
      </c>
      <c r="G145" s="41">
        <f>HYPERLINK("https://www.digikey.com/en/products/result?keywords=neodymium+3mm+cube+N42","Digikey: 3mm N42 cube")</f>
        <v/>
      </c>
    </row>
    <row r="146">
      <c r="A146" s="41" t="inlineStr">
        <is>
          <t>MCU</t>
        </is>
      </c>
      <c r="B146" s="41" t="inlineStr">
        <is>
          <t>STM32G474RET6</t>
        </is>
      </c>
      <c r="C146" s="41" t="inlineStr">
        <is>
          <t>170 MHz Cortex-M4F, drives shift-register chain over SPI at high rate</t>
        </is>
      </c>
      <c r="D146" s="41" t="n">
        <v>1</v>
      </c>
      <c r="E146" s="41" t="n">
        <v>10.5</v>
      </c>
      <c r="F146" s="41">
        <f>D146*E146</f>
        <v/>
      </c>
      <c r="G146" s="41">
        <f>HYPERLINK("https://www.digikey.com/en/products/result?keywords=STM32G474RET6","Digikey: STM32G474RET6")</f>
        <v/>
      </c>
    </row>
    <row r="147">
      <c r="A147" s="41" t="inlineStr">
        <is>
          <t>5V power supply</t>
        </is>
      </c>
      <c r="B147" s="41" t="inlineStr">
        <is>
          <t>RS-150-5</t>
        </is>
      </c>
      <c r="C147" s="41" t="inlineStr">
        <is>
          <t>MeanWell 5 V 30 A enclosed PSU; covers the computed board draw with margin.</t>
        </is>
      </c>
      <c r="D147" s="41" t="n">
        <v>1</v>
      </c>
      <c r="E147" s="41" t="n">
        <v>30</v>
      </c>
      <c r="F147" s="41">
        <f>D147*E147</f>
        <v/>
      </c>
      <c r="G147" s="41">
        <f>HYPERLINK("https://www.digikey.com/en/products/result?keywords=RS-150-5","Digikey: RS-150-5")</f>
        <v/>
      </c>
    </row>
    <row r="148">
      <c r="A148" s="41" t="inlineStr">
        <is>
          <t>PCB main board</t>
        </is>
      </c>
      <c r="B148" s="41" t="inlineStr">
        <is>
          <t>custom 4-layer FR4</t>
        </is>
      </c>
      <c r="C148" s="41" t="inlineStr">
        <is>
          <t>Full active board area plus side storage; rough JLCPCB 4-layer at ~$0.02/cm2 in qty 5.</t>
        </is>
      </c>
      <c r="D148" s="41">
        <f>ROUND(C57/100,0)</f>
        <v/>
      </c>
      <c r="E148" s="41" t="n">
        <v>0.02</v>
      </c>
      <c r="F148" s="41">
        <f>D148*E148</f>
        <v/>
      </c>
      <c r="G148" s="53" t="n"/>
    </row>
    <row r="149">
      <c r="A149" s="41" t="inlineStr">
        <is>
          <t>Coil-sense AFE</t>
        </is>
      </c>
      <c r="B149" s="41" t="inlineStr">
        <is>
          <t>LDC1614RGHR</t>
        </is>
      </c>
      <c r="C149" s="41" t="inlineStr">
        <is>
          <t>TI 4-ch 28-bit inductance-to-digital converter (WQFN-16). Measures each coil LC tank. 4 channels x mux ratio coils per AFE.</t>
        </is>
      </c>
      <c r="D149" s="41">
        <f>CEILING(C70/(4*C35),1)</f>
        <v/>
      </c>
      <c r="E149" s="41" t="n">
        <v>2.92</v>
      </c>
      <c r="F149" s="41">
        <f>D149*E149</f>
        <v/>
      </c>
      <c r="G149" s="41">
        <f>HYPERLINK("https://www.digikey.com/en/products/detail/texas-instruments/LDC1614RGHR/5481860","Digikey: LDC1614RGHR")</f>
        <v/>
      </c>
    </row>
    <row r="150">
      <c r="A150" s="41" t="inlineStr">
        <is>
          <t>Sense analog mux</t>
        </is>
      </c>
      <c r="B150" s="41" t="inlineStr">
        <is>
          <t>CD74HC4067M96</t>
        </is>
      </c>
      <c r="C150" s="41" t="inlineStr">
        <is>
          <t>TI 16:1 analog mux (SOIC-24). Time-shares muxed coils onto one LDC sense channel during the PWM off-window.</t>
        </is>
      </c>
      <c r="D150" s="41">
        <f>CEILING(C70/C35,1)</f>
        <v/>
      </c>
      <c r="E150" s="41" t="n">
        <v>0.78</v>
      </c>
      <c r="F150" s="41">
        <f>D150*E150</f>
        <v/>
      </c>
      <c r="G150" s="41">
        <f>HYPERLINK("https://www.digikey.com/en/products/detail/texas-instruments/CD74HC4067M96/1507236","Digikey: CD74HC4067M96")</f>
        <v/>
      </c>
    </row>
    <row r="151">
      <c r="A151" s="41" t="inlineStr">
        <is>
          <t>Piece ID LC tag</t>
        </is>
      </c>
      <c r="B151" s="41" t="inlineStr">
        <is>
          <t>LQM18FN100M00D + C0G cap</t>
        </is>
      </c>
      <c r="C151" s="41" t="inlineStr">
        <is>
          <t>Passive LC resonant ID tag, one per piece. 10 uH 0603 inductor + C0G cap sets a unique resonant frequency. No battery.</t>
        </is>
      </c>
      <c r="D151" s="41">
        <f>C15</f>
        <v/>
      </c>
      <c r="E151" s="41" t="n">
        <v>0.15</v>
      </c>
      <c r="F151" s="41">
        <f>D151*E151</f>
        <v/>
      </c>
      <c r="G151" s="41">
        <f>HYPERLINK("https://www.digikey.com/en/products/detail/murata-electronics/LQM18FN100M00D/1016184","Digikey: LQM18FN100M00D")</f>
        <v/>
      </c>
    </row>
    <row r="152">
      <c r="A152" s="41" t="inlineStr">
        <is>
          <t>Piece plastic / misc</t>
        </is>
      </c>
      <c r="B152" s="41" t="inlineStr">
        <is>
          <t>3D print PLA + screws + connectors</t>
        </is>
      </c>
      <c r="C152" s="41" t="inlineStr">
        <is>
          <t>Per-piece 3D-printed plastic plus cabling and MLCC bypass caps.</t>
        </is>
      </c>
      <c r="D152" s="41" t="n">
        <v>1</v>
      </c>
      <c r="E152" s="41" t="n">
        <v>45</v>
      </c>
      <c r="F152" s="41">
        <f>D152*E152</f>
        <v/>
      </c>
      <c r="G152" s="53" t="n"/>
    </row>
    <row r="153">
      <c r="A153" s="42" t="inlineStr">
        <is>
          <t>BOM TOTAL (recommended)</t>
        </is>
      </c>
      <c r="B153" s="53" t="n"/>
      <c r="C153" s="53" t="n"/>
      <c r="D153" s="53" t="n"/>
      <c r="E153" s="42" t="inlineStr">
        <is>
          <t>USD</t>
        </is>
      </c>
      <c r="F153" s="42">
        <f>SUM(F142:F152)</f>
        <v/>
      </c>
      <c r="G153" s="53" t="n"/>
    </row>
    <row r="154">
      <c r="A154" s="53" t="n"/>
      <c r="B154" s="53" t="n"/>
      <c r="C154" s="53" t="n"/>
      <c r="D154" s="53" t="n"/>
      <c r="E154" s="53" t="n"/>
      <c r="F154" s="53" t="n"/>
      <c r="G154" s="53" t="n"/>
    </row>
    <row r="155">
      <c r="A155" s="42" t="inlineStr">
        <is>
          <t>Verification</t>
        </is>
      </c>
      <c r="B155" s="53" t="n"/>
      <c r="C155" s="53" t="n"/>
      <c r="D155" s="53" t="n"/>
      <c r="E155" s="53" t="n"/>
      <c r="F155" s="53" t="n"/>
      <c r="G155" s="53" t="n"/>
    </row>
    <row r="156">
      <c r="A156" s="41" t="inlineStr">
        <is>
          <t>Calc</t>
        </is>
      </c>
      <c r="B156" s="41" t="inlineStr">
        <is>
          <t>Required (ideal) copper diameter</t>
        </is>
      </c>
      <c r="C156" s="41">
        <f>C112</f>
        <v/>
      </c>
      <c r="D156" s="41" t="inlineStr">
        <is>
          <t>mm</t>
        </is>
      </c>
      <c r="E156" s="41" t="inlineStr">
        <is>
          <t>minimum to meet thermal/voltage limits</t>
        </is>
      </c>
      <c r="F156" s="53" t="n"/>
      <c r="G156" s="53" t="n"/>
    </row>
    <row r="157">
      <c r="A157" s="41" t="inlineStr">
        <is>
          <t>Calc</t>
        </is>
      </c>
      <c r="B157" s="41" t="inlineStr">
        <is>
          <t>Selected standard copper diameter</t>
        </is>
      </c>
      <c r="C157" s="41">
        <f>C113</f>
        <v/>
      </c>
      <c r="D157" s="41" t="inlineStr">
        <is>
          <t>mm</t>
        </is>
      </c>
      <c r="E157" s="41" t="inlineStr">
        <is>
          <t>next standard wire &gt;= required</t>
        </is>
      </c>
      <c r="F157" s="53" t="n"/>
      <c r="G157" s="53" t="n"/>
    </row>
    <row r="158">
      <c r="A158" s="41" t="inlineStr">
        <is>
          <t>Calc</t>
        </is>
      </c>
      <c r="B158" s="41" t="inlineStr">
        <is>
          <t>Copper area margin (selected/required)</t>
        </is>
      </c>
      <c r="C158" s="41">
        <f>(C113/C112)^2</f>
        <v/>
      </c>
      <c r="D158" s="41" t="inlineStr">
        <is>
          <t>x</t>
        </is>
      </c>
      <c r="E158" s="41" t="inlineStr">
        <is>
          <t>more copper than minimum</t>
        </is>
      </c>
      <c r="F158" s="53" t="n"/>
      <c r="G158" s="53" t="n"/>
    </row>
    <row r="159">
      <c r="A159" s="41" t="inlineStr">
        <is>
          <t>Calc</t>
        </is>
      </c>
      <c r="B159" s="41" t="inlineStr">
        <is>
          <t>Voltage headroom at selected wire</t>
        </is>
      </c>
      <c r="C159" s="41">
        <f>C9*C33-C122</f>
        <v/>
      </c>
      <c r="D159" s="41" t="inlineStr">
        <is>
          <t>V</t>
        </is>
      </c>
      <c r="E159" s="41" t="inlineStr">
        <is>
          <t>V spare at max current</t>
        </is>
      </c>
      <c r="F159" s="53" t="n"/>
      <c r="G159" s="53" t="n"/>
    </row>
    <row r="160">
      <c r="A160" s="41" t="inlineStr">
        <is>
          <t>Calc</t>
        </is>
      </c>
      <c r="B160" s="41" t="inlineStr">
        <is>
          <t>Temp-rise margin to limit</t>
        </is>
      </c>
      <c r="C160" s="41">
        <f>C12-C124</f>
        <v/>
      </c>
      <c r="D160" s="41" t="inlineStr">
        <is>
          <t>C</t>
        </is>
      </c>
      <c r="E160" s="41" t="inlineStr">
        <is>
          <t>deg C below limit</t>
        </is>
      </c>
      <c r="F160" s="53" t="n"/>
      <c r="G160" s="53" t="n"/>
    </row>
    <row r="161">
      <c r="A161" s="41" t="inlineStr">
        <is>
          <t>Calc</t>
        </is>
      </c>
      <c r="B161" s="41" t="inlineStr">
        <is>
          <t>Shell-validity check</t>
        </is>
      </c>
      <c r="C161" s="41">
        <f>IF((C90-2*C8)&gt;0,"OK","wall too thick")</f>
        <v/>
      </c>
      <c r="D161" s="53" t="n"/>
      <c r="E161" s="53" t="n"/>
      <c r="F161" s="53" t="n"/>
      <c r="G161" s="53" t="n"/>
    </row>
    <row r="162">
      <c r="A162" s="41" t="inlineStr">
        <is>
          <t>Calc</t>
        </is>
      </c>
      <c r="B162" s="41" t="inlineStr">
        <is>
          <t>Coil-height buildable check</t>
        </is>
      </c>
      <c r="C162" s="41">
        <f>IF(C119&lt;=12,"OK","coil too tall")</f>
        <v/>
      </c>
      <c r="D162" s="53" t="n"/>
      <c r="E162" s="41" t="inlineStr">
        <is>
          <t>12 mm build max</t>
        </is>
      </c>
      <c r="F162" s="53" t="n"/>
      <c r="G162" s="53" t="n"/>
    </row>
    <row r="163">
      <c r="A163" s="41" t="inlineStr">
        <is>
          <t>Calc</t>
        </is>
      </c>
      <c r="B163" s="41" t="inlineStr">
        <is>
          <t>Platform-size check</t>
        </is>
      </c>
      <c r="C163" s="41">
        <f>IF(AND(C47&gt;=20,C47&lt;=50),"OK","platform out of range")</f>
        <v/>
      </c>
      <c r="D163" s="53" t="n"/>
      <c r="E163" s="41" t="inlineStr">
        <is>
          <t>target ~20-50 mm</t>
        </is>
      </c>
      <c r="F163" s="53" t="n"/>
      <c r="G163" s="53" t="n"/>
    </row>
    <row r="164">
      <c r="A164" s="41" t="inlineStr">
        <is>
          <t>Calc</t>
        </is>
      </c>
      <c r="B164" s="41" t="inlineStr">
        <is>
          <t>Magnet-array-fits-base check</t>
        </is>
      </c>
      <c r="C164" s="41">
        <f>IF(C47&lt;=C48,"OK","magnet array wider than base")</f>
        <v/>
      </c>
      <c r="D164" s="53" t="n"/>
      <c r="E164" s="41" t="inlineStr">
        <is>
          <t>platform side must fit within the round base</t>
        </is>
      </c>
      <c r="F164" s="53" t="n"/>
      <c r="G164" s="53" t="n"/>
    </row>
    <row r="165">
      <c r="A165" s="53" t="n"/>
      <c r="B165" s="53" t="n"/>
      <c r="C165" s="53" t="n"/>
      <c r="D165" s="53" t="n"/>
      <c r="E165" s="53" t="n"/>
      <c r="F165" s="53" t="n"/>
      <c r="G165" s="53" t="n"/>
    </row>
    <row r="166">
      <c r="A166" s="42" t="inlineStr">
        <is>
          <t>Control feasibility</t>
        </is>
      </c>
      <c r="B166" s="53" t="n"/>
      <c r="C166" s="53" t="n"/>
      <c r="D166" s="53" t="n"/>
      <c r="E166" s="53" t="n"/>
      <c r="F166" s="53" t="n"/>
      <c r="G166" s="53" t="n"/>
    </row>
    <row r="167">
      <c r="A167" s="41" t="inlineStr">
        <is>
          <t>Calc</t>
        </is>
      </c>
      <c r="B167" s="41" t="inlineStr">
        <is>
          <t>Coil inductance (estimate)</t>
        </is>
      </c>
      <c r="C167" s="41">
        <f>1.25663706e-6*C102^2*(C67/1000000)/(C119/1000)*1000</f>
        <v/>
      </c>
      <c r="D167" s="41" t="inlineStr">
        <is>
          <t>mH</t>
        </is>
      </c>
      <c r="E167" s="41" t="inlineStr">
        <is>
          <t>air-core solenoid approx</t>
        </is>
      </c>
      <c r="F167" s="53" t="n"/>
      <c r="G167" s="53" t="n"/>
    </row>
    <row r="168">
      <c r="A168" s="41" t="inlineStr">
        <is>
          <t>Calc</t>
        </is>
      </c>
      <c r="B168" s="41" t="inlineStr">
        <is>
          <t>Electrical time constant L/R</t>
        </is>
      </c>
      <c r="C168" s="41">
        <f>(C167/1000)/C121*1000</f>
        <v/>
      </c>
      <c r="D168" s="41" t="inlineStr">
        <is>
          <t>ms</t>
        </is>
      </c>
      <c r="E168" s="53" t="n"/>
      <c r="F168" s="53" t="n"/>
      <c r="G168" s="53" t="n"/>
    </row>
    <row r="169">
      <c r="A169" s="41" t="inlineStr">
        <is>
          <t>Calc</t>
        </is>
      </c>
      <c r="B169" s="41" t="inlineStr">
        <is>
          <t>Actuator current-loop bandwidth</t>
        </is>
      </c>
      <c r="C169" s="41">
        <f>1/(2*PI()*(C168/1000))</f>
        <v/>
      </c>
      <c r="D169" s="41" t="inlineStr">
        <is>
          <t>Hz</t>
        </is>
      </c>
      <c r="E169" s="41" t="inlineStr">
        <is>
          <t>1 / (2 pi L/R)</t>
        </is>
      </c>
      <c r="F169" s="53" t="n"/>
      <c r="G169" s="53" t="n"/>
    </row>
    <row r="170">
      <c r="A170" s="41" t="inlineStr">
        <is>
          <t>Calc</t>
        </is>
      </c>
      <c r="B170" s="41" t="inlineStr">
        <is>
          <t>Current slew time to Imax</t>
        </is>
      </c>
      <c r="C170" s="41">
        <f>(C167/1000)*C10/(C9*C33)*1000</f>
        <v/>
      </c>
      <c r="D170" s="41" t="inlineStr">
        <is>
          <t>ms</t>
        </is>
      </c>
      <c r="E170" s="41" t="inlineStr">
        <is>
          <t>L x I / usable bus</t>
        </is>
      </c>
      <c r="F170" s="53" t="n"/>
      <c r="G170" s="53" t="n"/>
    </row>
    <row r="171">
      <c r="A171" s="41" t="inlineStr">
        <is>
          <t>Calc</t>
        </is>
      </c>
      <c r="B171" s="41" t="inlineStr">
        <is>
          <t>Open-loop instability growth time</t>
        </is>
      </c>
      <c r="C171" s="41">
        <f>1/SQRT(C82*1000*9.80665)*1000</f>
        <v/>
      </c>
      <c r="D171" s="41" t="inlineStr">
        <is>
          <t>ms</t>
        </is>
      </c>
      <c r="E171" s="41" t="inlineStr">
        <is>
          <t>1/sqrt(alpha x g)</t>
        </is>
      </c>
      <c r="F171" s="53" t="n"/>
      <c r="G171" s="53" t="n"/>
    </row>
    <row r="172">
      <c r="A172" s="41" t="inlineStr">
        <is>
          <t>Calc</t>
        </is>
      </c>
      <c r="B172" s="41" t="inlineStr">
        <is>
          <t>Required control loop bandwidth</t>
        </is>
      </c>
      <c r="C172" s="41">
        <f>C14/(2*PI()*(C171/1000))</f>
        <v/>
      </c>
      <c r="D172" s="41" t="inlineStr">
        <is>
          <t>Hz</t>
        </is>
      </c>
      <c r="E172" s="41" t="inlineStr">
        <is>
          <t>margin x instability rate</t>
        </is>
      </c>
      <c r="F172" s="53" t="n"/>
      <c r="G172" s="53" t="n"/>
    </row>
    <row r="173">
      <c r="A173" s="41" t="inlineStr">
        <is>
          <t>Calc</t>
        </is>
      </c>
      <c r="B173" s="41" t="inlineStr">
        <is>
          <t>Required pose update rate</t>
        </is>
      </c>
      <c r="C173" s="41">
        <f>C14/(C171/1000)</f>
        <v/>
      </c>
      <c r="D173" s="41" t="inlineStr">
        <is>
          <t>Hz</t>
        </is>
      </c>
      <c r="E173" s="41" t="inlineStr">
        <is>
          <t>sensing target</t>
        </is>
      </c>
      <c r="F173" s="53" t="n"/>
      <c r="G173" s="53" t="n"/>
    </row>
    <row r="174">
      <c r="A174" s="41" t="inlineStr">
        <is>
          <t>Calc</t>
        </is>
      </c>
      <c r="B174" s="41" t="inlineStr">
        <is>
          <t>Control-bandwidth check</t>
        </is>
      </c>
      <c r="C174" s="41">
        <f>IF(C169&gt;=C172,"OK","actuator bandwidth too low")</f>
        <v/>
      </c>
      <c r="D174" s="53" t="n"/>
      <c r="E174" s="53" t="n"/>
      <c r="F174" s="53" t="n"/>
      <c r="G174" s="53" t="n"/>
    </row>
    <row r="175">
      <c r="A175" s="41" t="inlineStr">
        <is>
          <t>Calc</t>
        </is>
      </c>
      <c r="B175" s="41" t="inlineStr">
        <is>
          <t>Current-slew check</t>
        </is>
      </c>
      <c r="C175" s="41">
        <f>IF(C170&lt;=C171/C14,"OK","current cannot react in time")</f>
        <v/>
      </c>
      <c r="D175" s="53" t="n"/>
      <c r="E175" s="53" t="n"/>
      <c r="F175" s="53" t="n"/>
      <c r="G175" s="53" t="n"/>
    </row>
    <row r="176">
      <c r="A176" s="53" t="n"/>
      <c r="B176" s="53" t="n"/>
      <c r="C176" s="53" t="n"/>
      <c r="D176" s="53" t="n"/>
      <c r="E176" s="53" t="n"/>
      <c r="F176" s="53" t="n"/>
      <c r="G176" s="53" t="n"/>
    </row>
    <row r="177">
      <c r="A177" s="42" t="inlineStr">
        <is>
          <t>Sensing throughput</t>
        </is>
      </c>
      <c r="B177" s="53" t="n"/>
      <c r="C177" s="53" t="n"/>
      <c r="D177" s="53" t="n"/>
      <c r="E177" s="53" t="n"/>
      <c r="F177" s="53" t="n"/>
      <c r="G177" s="53" t="n"/>
    </row>
    <row r="178">
      <c r="A178" s="41" t="inlineStr">
        <is>
          <t>Calc</t>
        </is>
      </c>
      <c r="B178" s="41" t="inlineStr">
        <is>
          <t>Required per-coil update rate</t>
        </is>
      </c>
      <c r="C178" s="41">
        <f>C173</f>
        <v/>
      </c>
      <c r="D178" s="41" t="inlineStr">
        <is>
          <t>Hz</t>
        </is>
      </c>
      <c r="E178" s="41" t="inlineStr">
        <is>
          <t>from control block</t>
        </is>
      </c>
      <c r="F178" s="53" t="n"/>
      <c r="G178" s="53" t="n"/>
    </row>
    <row r="179">
      <c r="A179" s="41" t="inlineStr">
        <is>
          <t>Calc</t>
        </is>
      </c>
      <c r="B179" s="41" t="inlineStr">
        <is>
          <t>Active coils sensed (worst case)</t>
        </is>
      </c>
      <c r="C179" s="41">
        <f>C15*C66*C16</f>
        <v/>
      </c>
      <c r="D179" s="41" t="inlineStr">
        <is>
          <t>coils</t>
        </is>
      </c>
      <c r="E179" s="41" t="inlineStr">
        <is>
          <t>pieces x coils per piece x look-ahead</t>
        </is>
      </c>
      <c r="F179" s="53" t="n"/>
      <c r="G179" s="53" t="n"/>
    </row>
    <row r="180">
      <c r="A180" s="41" t="inlineStr">
        <is>
          <t>Calc</t>
        </is>
      </c>
      <c r="B180" s="41" t="inlineStr">
        <is>
          <t>Reads needed</t>
        </is>
      </c>
      <c r="C180" s="41">
        <f>C179*C178</f>
        <v/>
      </c>
      <c r="D180" s="41" t="inlineStr">
        <is>
          <t>reads/s</t>
        </is>
      </c>
      <c r="E180" s="41" t="inlineStr">
        <is>
          <t>active coils x update rate</t>
        </is>
      </c>
      <c r="F180" s="53" t="n"/>
      <c r="G180" s="53" t="n"/>
    </row>
    <row r="181">
      <c r="A181" s="41" t="inlineStr">
        <is>
          <t>Calc</t>
        </is>
      </c>
      <c r="B181" s="41" t="inlineStr">
        <is>
          <t>Total sense channels</t>
        </is>
      </c>
      <c r="C181" s="41">
        <f>CEILING(C70/(4*C35),1)*4</f>
        <v/>
      </c>
      <c r="D181" s="41" t="inlineStr">
        <is>
          <t>ch</t>
        </is>
      </c>
      <c r="E181" s="41" t="inlineStr">
        <is>
          <t>LDC1614 count x 4 channels each</t>
        </is>
      </c>
      <c r="F181" s="53" t="n"/>
      <c r="G181" s="53" t="n"/>
    </row>
    <row r="182">
      <c r="A182" s="41" t="inlineStr">
        <is>
          <t>Calc</t>
        </is>
      </c>
      <c r="B182" s="41" t="inlineStr">
        <is>
          <t>Total sensing capacity</t>
        </is>
      </c>
      <c r="C182" s="41">
        <f>C181*C34</f>
        <v/>
      </c>
      <c r="D182" s="41" t="inlineStr">
        <is>
          <t>reads/s</t>
        </is>
      </c>
      <c r="E182" s="41" t="inlineStr">
        <is>
          <t>channels x LDC sample rate</t>
        </is>
      </c>
      <c r="F182" s="53" t="n"/>
      <c r="G182" s="53" t="n"/>
    </row>
    <row r="183">
      <c r="A183" s="41" t="inlineStr">
        <is>
          <t>Calc</t>
        </is>
      </c>
      <c r="B183" s="41" t="inlineStr">
        <is>
          <t>Active-region sensing check</t>
        </is>
      </c>
      <c r="C183" s="41">
        <f>IF(C182&gt;=C180,"OK","sensing too slow for control")</f>
        <v/>
      </c>
      <c r="D183" s="53" t="n"/>
      <c r="E183" s="53" t="n"/>
      <c r="F183" s="53" t="n"/>
      <c r="G183" s="53" t="n"/>
    </row>
    <row r="184">
      <c r="A184" s="41" t="inlineStr">
        <is>
          <t>Calc</t>
        </is>
      </c>
      <c r="B184" s="41" t="inlineStr">
        <is>
          <t>Sensing headroom</t>
        </is>
      </c>
      <c r="C184" s="41">
        <f>C182/C180</f>
        <v/>
      </c>
      <c r="D184" s="41" t="inlineStr">
        <is>
          <t>x</t>
        </is>
      </c>
      <c r="E184" s="41" t="inlineStr">
        <is>
          <t>capacity / reads needed</t>
        </is>
      </c>
      <c r="F184" s="53" t="n"/>
      <c r="G184" s="53" t="n"/>
    </row>
    <row r="185">
      <c r="A185" s="53" t="n"/>
      <c r="B185" s="53" t="n"/>
      <c r="C185" s="53" t="n"/>
      <c r="D185" s="53" t="n"/>
      <c r="E185" s="53" t="n"/>
      <c r="F185" s="53" t="n"/>
      <c r="G185" s="53" t="n"/>
    </row>
    <row r="186">
      <c r="A186" s="53" t="n"/>
      <c r="B186" s="53" t="n"/>
      <c r="C186" s="53" t="n"/>
      <c r="D186" s="53" t="n"/>
      <c r="E186" s="53" t="n"/>
      <c r="F186" s="53" t="n"/>
      <c r="G186" s="53" t="n"/>
    </row>
    <row r="187">
      <c r="A187" s="53" t="n"/>
      <c r="B187" s="53" t="n"/>
      <c r="C187" s="53" t="n"/>
      <c r="D187" s="53" t="n"/>
      <c r="E187" s="53" t="n"/>
      <c r="F187" s="53" t="n"/>
      <c r="G187" s="53" t="n"/>
    </row>
    <row r="188">
      <c r="A188" s="53" t="n"/>
      <c r="B188" s="53" t="n"/>
      <c r="C188" s="53" t="n"/>
      <c r="D188" s="53" t="n"/>
      <c r="E188" s="53" t="n"/>
      <c r="F188" s="53" t="n"/>
      <c r="G188" s="53" t="n"/>
    </row>
    <row r="189">
      <c r="A189" s="53" t="n"/>
      <c r="B189" s="53" t="n"/>
      <c r="C189" s="53" t="n"/>
      <c r="D189" s="53" t="n"/>
      <c r="E189" s="53" t="n"/>
      <c r="F189" s="53" t="n"/>
      <c r="G189" s="53" t="n"/>
    </row>
    <row r="190">
      <c r="A190" s="53" t="n"/>
      <c r="B190" s="53" t="n"/>
      <c r="C190" s="53" t="n"/>
      <c r="D190" s="53" t="n"/>
      <c r="E190" s="53" t="n"/>
      <c r="F190" s="53" t="n"/>
      <c r="G190" s="53" t="n"/>
    </row>
    <row r="191">
      <c r="A191" s="53" t="n"/>
      <c r="B191" s="53" t="n"/>
      <c r="C191" s="53" t="n"/>
      <c r="D191" s="53" t="n"/>
      <c r="E191" s="53" t="n"/>
      <c r="F191" s="53" t="n"/>
      <c r="G191" s="53" t="n"/>
    </row>
    <row r="192">
      <c r="A192" s="53" t="n"/>
      <c r="B192" s="53" t="n"/>
      <c r="C192" s="53" t="n"/>
      <c r="D192" s="53" t="n"/>
      <c r="E192" s="53" t="n"/>
      <c r="F192" s="53" t="n"/>
      <c r="G192" s="53" t="n"/>
    </row>
    <row r="193">
      <c r="A193" s="53" t="n"/>
      <c r="B193" s="53" t="n"/>
      <c r="C193" s="53" t="n"/>
      <c r="D193" s="53" t="n"/>
      <c r="E193" s="53" t="n"/>
      <c r="F193" s="53" t="n"/>
      <c r="G193" s="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20" customWidth="1" min="4" max="4"/>
    <col width="60" customWidth="1" min="5" max="5"/>
    <col width="50" customWidth="1" min="6" max="6"/>
    <col width="28" customWidth="1" min="7" max="7"/>
    <col width="28" customWidth="1" min="8" max="8"/>
  </cols>
  <sheetData>
    <row r="1">
      <c r="A1" s="42" t="inlineStr">
        <is>
          <t>Component alternates (Digikey qty ~1k, USD). Pick one per category.</t>
        </is>
      </c>
      <c r="B1" s="41" t="n"/>
      <c r="C1" s="41" t="n"/>
      <c r="D1" s="41" t="n"/>
      <c r="E1" s="41" t="n"/>
      <c r="F1" s="41" t="n"/>
      <c r="G1" s="41" t="n"/>
      <c r="H1" s="41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</row>
    <row r="3">
      <c r="A3" s="50" t="inlineStr">
        <is>
          <t>Coil driver IC  (chosen: TLC59283DBQR)</t>
        </is>
      </c>
      <c r="B3" s="41" t="n"/>
      <c r="C3" s="41" t="n"/>
      <c r="D3" s="41" t="n"/>
      <c r="E3" s="41" t="n"/>
      <c r="F3" s="41" t="n"/>
      <c r="G3" s="41" t="n"/>
      <c r="H3" s="41" t="n"/>
    </row>
    <row r="4">
      <c r="A4" s="51" t="inlineStr">
        <is>
          <t>MPN</t>
        </is>
      </c>
      <c r="B4" s="42" t="inlineStr">
        <is>
          <t>Ch</t>
        </is>
      </c>
      <c r="C4" s="42" t="inlineStr">
        <is>
          <t>Unit $</t>
        </is>
      </c>
      <c r="D4" s="42" t="inlineStr">
        <is>
          <t>Qty</t>
        </is>
      </c>
      <c r="E4" s="42" t="inlineStr">
        <is>
          <t>Note</t>
        </is>
      </c>
      <c r="F4" s="42" t="inlineStr">
        <is>
          <t>Link</t>
        </is>
      </c>
      <c r="G4" s="41" t="n"/>
      <c r="H4" s="41" t="n"/>
    </row>
    <row r="5">
      <c r="A5" s="49" t="inlineStr">
        <is>
          <t>TLC59283DBQR</t>
        </is>
      </c>
      <c r="B5" s="49" t="n">
        <v>16</v>
      </c>
      <c r="C5" s="49" t="n">
        <v>0.373</v>
      </c>
      <c r="D5" s="49">
        <f>Model!C73</f>
        <v/>
      </c>
      <c r="E5" s="49" t="inlineStr">
        <is>
          <t>Chosen; LED sink, needs external flyback</t>
        </is>
      </c>
      <c r="F5" s="41">
        <f>HYPERLINK("https://www.digikey.com/en/products/result?keywords=TLC59283DBQR","Digikey: TLC59283DBQR")</f>
        <v/>
      </c>
      <c r="G5" s="41" t="n"/>
      <c r="H5" s="41" t="n"/>
    </row>
    <row r="6">
      <c r="A6" s="49" t="inlineStr">
        <is>
          <t>TLC5928DBQR</t>
        </is>
      </c>
      <c r="B6" s="49" t="n">
        <v>16</v>
      </c>
      <c r="C6" s="49" t="n"/>
      <c r="D6" s="49">
        <f>Model!C73</f>
        <v/>
      </c>
      <c r="E6" s="49" t="inlineStr">
        <is>
          <t>Higher-accuracy current sink</t>
        </is>
      </c>
      <c r="F6" s="52">
        <f>HYPERLINK("https://www.digikey.com/en/products/result?keywords=TLC5928DBQR","Digikey: TLC5928DBQR")</f>
        <v/>
      </c>
      <c r="G6" s="52" t="n"/>
      <c r="H6" s="52" t="n"/>
    </row>
    <row r="7">
      <c r="A7" s="49" t="inlineStr">
        <is>
          <t>STP16CP05XTTR</t>
        </is>
      </c>
      <c r="B7" s="49" t="n">
        <v>16</v>
      </c>
      <c r="C7" s="49" t="n"/>
      <c r="D7" s="49">
        <f>Model!C73</f>
        <v/>
      </c>
      <c r="E7" s="49" t="inlineStr">
        <is>
          <t>Higher current capability</t>
        </is>
      </c>
      <c r="F7" s="41">
        <f>HYPERLINK("https://www.digikey.com/en/products/result?keywords=STP16CP05XTTR","Digikey: STP16CP05XTTR")</f>
        <v/>
      </c>
      <c r="G7" s="47" t="n"/>
      <c r="H7" s="41" t="n"/>
    </row>
    <row r="8">
      <c r="A8" s="49" t="inlineStr">
        <is>
          <t>TPIC6C596DR</t>
        </is>
      </c>
      <c r="B8" s="49" t="n">
        <v>8</v>
      </c>
      <c r="C8" s="49" t="n">
        <v>0.85</v>
      </c>
      <c r="D8" s="49">
        <f>Model!C72/8</f>
        <v/>
      </c>
      <c r="E8" s="49" t="inlineStr">
        <is>
          <t>DMOS, internal flyback, ~2x chip count</t>
        </is>
      </c>
      <c r="F8" s="41">
        <f>HYPERLINK("https://www.digikey.com/en/products/result?keywords=TPIC6C596DR","Digikey: TPIC6C596DR")</f>
        <v/>
      </c>
      <c r="G8" s="47" t="n"/>
      <c r="H8" s="41" t="n"/>
    </row>
    <row r="9">
      <c r="A9" s="49" t="inlineStr">
        <is>
          <t>ULN2803ADWR</t>
        </is>
      </c>
      <c r="B9" s="49" t="n">
        <v>8</v>
      </c>
      <c r="C9" s="49" t="n">
        <v>0.3</v>
      </c>
      <c r="D9" s="49">
        <f>Model!C72/8</f>
        <v/>
      </c>
      <c r="E9" s="49" t="inlineStr">
        <is>
          <t>Cheap but 0.9 V drop; not viable at 5 V</t>
        </is>
      </c>
      <c r="F9" s="41">
        <f>HYPERLINK("https://www.digikey.com/en/products/result?keywords=ULN2803ADWR","Digikey: ULN2803ADWR")</f>
        <v/>
      </c>
      <c r="G9" s="47" t="n"/>
      <c r="H9" s="41" t="n"/>
    </row>
    <row r="10">
      <c r="A10" s="41" t="n"/>
      <c r="B10" s="41" t="n"/>
      <c r="C10" s="41" t="n"/>
      <c r="D10" s="41" t="n"/>
      <c r="E10" s="41" t="n"/>
      <c r="F10" s="41" t="n"/>
      <c r="G10" s="47" t="n"/>
      <c r="H10" s="41" t="n"/>
    </row>
    <row r="11">
      <c r="A11" s="51" t="inlineStr">
        <is>
          <t>Flyback diode  (qty = one per driver output; only if driver lacks clamp)</t>
        </is>
      </c>
      <c r="B11" s="41" t="n"/>
      <c r="C11" s="41" t="n"/>
      <c r="D11" s="41" t="n"/>
      <c r="E11" s="41" t="n"/>
      <c r="F11" s="41" t="n"/>
      <c r="G11" s="47" t="n"/>
      <c r="H11" s="41" t="n"/>
    </row>
    <row r="12">
      <c r="A12" s="42" t="inlineStr">
        <is>
          <t>MPN</t>
        </is>
      </c>
      <c r="B12" s="42" t="inlineStr">
        <is>
          <t>Type</t>
        </is>
      </c>
      <c r="C12" s="42" t="inlineStr">
        <is>
          <t>Vf</t>
        </is>
      </c>
      <c r="D12" s="42" t="inlineStr">
        <is>
          <t>Unit $</t>
        </is>
      </c>
      <c r="E12" s="42" t="inlineStr">
        <is>
          <t>Note</t>
        </is>
      </c>
      <c r="F12" s="42" t="inlineStr">
        <is>
          <t>Link</t>
        </is>
      </c>
      <c r="G12" s="41" t="n"/>
      <c r="H12" s="41" t="n"/>
    </row>
    <row r="13">
      <c r="A13" s="41" t="inlineStr">
        <is>
          <t>1N4148WS-7-F</t>
        </is>
      </c>
      <c r="B13" s="41" t="inlineStr">
        <is>
          <t>Si fast</t>
        </is>
      </c>
      <c r="C13" s="41" t="inlineStr">
        <is>
          <t>1.0 V</t>
        </is>
      </c>
      <c r="D13" s="41" t="n">
        <v>0.04</v>
      </c>
      <c r="E13" s="41" t="inlineStr">
        <is>
          <t>Chosen; SOD-323</t>
        </is>
      </c>
      <c r="F13" s="41">
        <f>HYPERLINK("https://www.digikey.com/en/products/result?keywords=1N4148WS-7-F","Digikey: 1N4148WS-7-F")</f>
        <v/>
      </c>
      <c r="G13" s="41" t="n"/>
      <c r="H13" s="41" t="n"/>
    </row>
    <row r="14">
      <c r="A14" s="41" t="inlineStr">
        <is>
          <t>BAT54XV2T1G</t>
        </is>
      </c>
      <c r="B14" s="41" t="inlineStr">
        <is>
          <t>Schottky</t>
        </is>
      </c>
      <c r="C14" s="41" t="inlineStr">
        <is>
          <t>0.35 V</t>
        </is>
      </c>
      <c r="D14" s="41" t="n">
        <v>0.06</v>
      </c>
      <c r="E14" s="41" t="inlineStr">
        <is>
          <t>Lower Vf</t>
        </is>
      </c>
      <c r="F14" s="41">
        <f>HYPERLINK("https://www.digikey.com/en/products/result?keywords=BAT54XV2T1G","Digikey: BAT54XV2T1G")</f>
        <v/>
      </c>
      <c r="G14" s="41" t="n"/>
      <c r="H14" s="41" t="n"/>
    </row>
    <row r="15">
      <c r="A15" s="52" t="inlineStr">
        <is>
          <t>BAT30KFILM</t>
        </is>
      </c>
      <c r="B15" s="52" t="inlineStr">
        <is>
          <t>Schottky</t>
        </is>
      </c>
      <c r="C15" s="52" t="inlineStr">
        <is>
          <t>0.30 V</t>
        </is>
      </c>
      <c r="D15" s="52" t="n">
        <v>0.091</v>
      </c>
      <c r="E15" s="52" t="inlineStr">
        <is>
          <t>Lowest Vf</t>
        </is>
      </c>
      <c r="F15" s="52">
        <f>HYPERLINK("https://www.digikey.com/en/products/result?keywords=BAT30KFILM","Digikey: BAT30KFILM")</f>
        <v/>
      </c>
      <c r="G15" s="52" t="n"/>
      <c r="H15" s="52" t="n"/>
    </row>
    <row r="16">
      <c r="A16" s="41" t="n"/>
      <c r="B16" s="41" t="n"/>
      <c r="C16" s="41" t="n"/>
      <c r="D16" s="41" t="n"/>
      <c r="E16" s="41" t="n"/>
      <c r="F16" s="41" t="n"/>
      <c r="G16" s="47" t="n"/>
      <c r="H16" s="41" t="n"/>
    </row>
    <row r="17">
      <c r="A17" s="42" t="inlineStr">
        <is>
          <t>Magnet wire source  (chosen: QA-1-155 0.05 mm)</t>
        </is>
      </c>
      <c r="B17" s="41" t="n"/>
      <c r="C17" s="41" t="n"/>
      <c r="D17" s="41" t="n"/>
      <c r="E17" s="41" t="n"/>
      <c r="F17" s="41" t="n"/>
      <c r="G17" s="47" t="n"/>
      <c r="H17" s="41" t="n"/>
    </row>
    <row r="18">
      <c r="A18" s="42" t="inlineStr">
        <is>
          <t>Source</t>
        </is>
      </c>
      <c r="B18" s="42" t="inlineStr">
        <is>
          <t>Qty</t>
        </is>
      </c>
      <c r="C18" s="42" t="inlineStr">
        <is>
          <t>Unit $</t>
        </is>
      </c>
      <c r="D18" s="42" t="inlineStr">
        <is>
          <t>Total $</t>
        </is>
      </c>
      <c r="E18" s="42" t="inlineStr">
        <is>
          <t>Note</t>
        </is>
      </c>
      <c r="F18" s="42" t="inlineStr">
        <is>
          <t>Link</t>
        </is>
      </c>
      <c r="G18" s="47" t="n"/>
      <c r="H18" s="41" t="n"/>
    </row>
    <row r="19">
      <c r="A19" s="41" t="inlineStr">
        <is>
          <t>QA-1-155 0.05 mm, 1 kg (AE 4000274595791)</t>
        </is>
      </c>
      <c r="B19" s="41">
        <f>CEILING(Model!C127,1)</f>
        <v/>
      </c>
      <c r="C19" s="41" t="n">
        <v>43</v>
      </c>
      <c r="D19" s="41">
        <f>B19*C19</f>
        <v/>
      </c>
      <c r="E19" s="41" t="inlineStr">
        <is>
          <t>Chosen; ~44 AWG, 1 kg spool</t>
        </is>
      </c>
      <c r="F19" s="41">
        <f>HYPERLINK("https://fr.aliexpress.com/item/4000274595791.html","Aliexpress item")</f>
        <v/>
      </c>
      <c r="G19" s="41" t="n"/>
      <c r="H19" s="41" t="n"/>
    </row>
    <row r="20">
      <c r="A20" s="41" t="inlineStr">
        <is>
          <t>44SNSP.25 (Digikey)</t>
        </is>
      </c>
      <c r="B20" s="41">
        <f>CEILING(Model!C126/6081,1)</f>
        <v/>
      </c>
      <c r="C20" s="41" t="n">
        <v>18</v>
      </c>
      <c r="D20" s="41">
        <f>B20*C20</f>
        <v/>
      </c>
      <c r="E20" s="41" t="inlineStr">
        <is>
          <t>Backup; Digikey stock, fast shipping</t>
        </is>
      </c>
      <c r="F20" s="41">
        <f>HYPERLINK("https://www.digikey.com/en/products/result?keywords=44SNSP.25","Digikey: 44SNSP.25")</f>
        <v/>
      </c>
      <c r="G20" s="41" t="n"/>
      <c r="H20" s="41" t="n"/>
    </row>
    <row r="21">
      <c r="A21" s="41" t="inlineStr">
        <is>
          <t>MWS Wire (custom)</t>
        </is>
      </c>
      <c r="B21" s="41" t="inlineStr">
        <is>
          <t>~5</t>
        </is>
      </c>
      <c r="C21" s="41" t="n">
        <v>80</v>
      </c>
      <c r="D21" s="41" t="inlineStr">
        <is>
          <t>~400</t>
        </is>
      </c>
      <c r="E21" s="41" t="inlineStr">
        <is>
          <t>Premium MIL-spec; quote required</t>
        </is>
      </c>
      <c r="F21" s="41">
        <f>HYPERLINK("https://www.mwswire.com/","MWS Wire")</f>
        <v/>
      </c>
      <c r="G21" s="41" t="n"/>
      <c r="H21" s="41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1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1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1" t="n"/>
    </row>
    <row r="25">
      <c r="A25" s="41" t="n"/>
      <c r="B25" s="41" t="n"/>
      <c r="C25" s="41" t="n"/>
      <c r="D25" s="41" t="n"/>
      <c r="E25" s="41" t="n"/>
      <c r="F25" s="41" t="n"/>
      <c r="G25" s="41" t="n"/>
      <c r="H25" s="41" t="n"/>
    </row>
    <row r="26">
      <c r="A26" s="42" t="inlineStr">
        <is>
          <t>Standard magnet wire bare diameters (mm) - used by Model wire auto-select</t>
        </is>
      </c>
      <c r="B26" s="41" t="n"/>
      <c r="C26" s="41" t="n"/>
      <c r="D26" s="41" t="n"/>
      <c r="E26" s="41" t="n"/>
      <c r="F26" s="41" t="n"/>
      <c r="G26" s="41" t="n"/>
      <c r="H26" s="41" t="n"/>
    </row>
    <row r="27">
      <c r="A27" s="41" t="n">
        <v>0.03</v>
      </c>
      <c r="B27" s="41" t="n"/>
      <c r="C27" s="41" t="n"/>
      <c r="D27" s="41" t="n"/>
      <c r="E27" s="41" t="n"/>
      <c r="F27" s="41" t="n"/>
      <c r="G27" s="41" t="n"/>
      <c r="H27" s="41" t="n"/>
    </row>
    <row r="28">
      <c r="A28" s="41" t="n">
        <v>0.04</v>
      </c>
      <c r="B28" s="41" t="n"/>
      <c r="C28" s="41" t="n"/>
      <c r="D28" s="41" t="n"/>
      <c r="E28" s="41" t="n"/>
      <c r="F28" s="41" t="n"/>
      <c r="G28" s="41" t="n"/>
      <c r="H28" s="41" t="n"/>
    </row>
    <row r="29">
      <c r="A29" s="41" t="n">
        <v>0.05</v>
      </c>
      <c r="B29" s="41" t="n"/>
      <c r="C29" s="41" t="n"/>
      <c r="D29" s="41" t="n"/>
      <c r="E29" s="41" t="n"/>
      <c r="F29" s="41" t="n"/>
      <c r="G29" s="41" t="n"/>
      <c r="H29" s="41" t="n"/>
    </row>
    <row r="30">
      <c r="A30" s="41" t="n">
        <v>0.063</v>
      </c>
      <c r="B30" s="41" t="n"/>
      <c r="C30" s="41" t="n"/>
      <c r="D30" s="41" t="n"/>
      <c r="E30" s="41" t="n"/>
      <c r="F30" s="41" t="n"/>
      <c r="G30" s="41" t="n"/>
      <c r="H30" s="41" t="n"/>
    </row>
    <row r="31">
      <c r="A31" s="41" t="n">
        <v>0.07099999999999999</v>
      </c>
      <c r="B31" s="41" t="n"/>
      <c r="C31" s="41" t="n"/>
      <c r="D31" s="41" t="n"/>
      <c r="E31" s="41" t="n"/>
      <c r="F31" s="41" t="n"/>
      <c r="G31" s="41" t="n"/>
      <c r="H31" s="41" t="n"/>
    </row>
    <row r="32">
      <c r="A32" s="41" t="n">
        <v>0.08</v>
      </c>
      <c r="B32" s="41" t="n"/>
      <c r="C32" s="41" t="n"/>
      <c r="D32" s="41" t="n"/>
      <c r="E32" s="41" t="n"/>
      <c r="F32" s="41" t="n"/>
      <c r="G32" s="41" t="n"/>
      <c r="H32" s="41" t="n"/>
    </row>
    <row r="33">
      <c r="A33" s="41" t="n">
        <v>0.09</v>
      </c>
      <c r="B33" s="41" t="n"/>
      <c r="C33" s="41" t="n"/>
      <c r="D33" s="41" t="n"/>
      <c r="E33" s="41" t="n"/>
      <c r="F33" s="41" t="n"/>
      <c r="G33" s="41" t="n"/>
      <c r="H33" s="41" t="n"/>
    </row>
    <row r="34">
      <c r="A34" s="41" t="n">
        <v>0.1</v>
      </c>
      <c r="B34" s="41" t="n"/>
      <c r="C34" s="41" t="n"/>
      <c r="D34" s="41" t="n"/>
      <c r="E34" s="41" t="n"/>
      <c r="F34" s="41" t="n"/>
      <c r="G34" s="41" t="n"/>
      <c r="H34" s="41" t="n"/>
    </row>
    <row r="35">
      <c r="A35" s="41" t="n">
        <v>0.112</v>
      </c>
      <c r="B35" s="41" t="n"/>
      <c r="C35" s="41" t="n"/>
      <c r="D35" s="41" t="n"/>
      <c r="E35" s="41" t="n"/>
      <c r="F35" s="41" t="n"/>
      <c r="G35" s="41" t="n"/>
      <c r="H35" s="41" t="n"/>
    </row>
    <row r="36">
      <c r="A36" s="41" t="n">
        <v>0.125</v>
      </c>
      <c r="B36" s="41" t="n"/>
      <c r="C36" s="41" t="n"/>
      <c r="D36" s="41" t="n"/>
      <c r="E36" s="41" t="n"/>
      <c r="F36" s="41" t="n"/>
      <c r="G36" s="41" t="n"/>
      <c r="H36" s="41" t="n"/>
    </row>
    <row r="37">
      <c r="A37" s="41" t="n">
        <v>0.14</v>
      </c>
      <c r="B37" s="41" t="n"/>
      <c r="C37" s="41" t="n"/>
      <c r="D37" s="41" t="n"/>
      <c r="E37" s="41" t="n"/>
      <c r="F37" s="41" t="n"/>
      <c r="G37" s="41" t="n"/>
      <c r="H37" s="41" t="n"/>
    </row>
    <row r="38">
      <c r="A38" s="41" t="n">
        <v>0.16</v>
      </c>
      <c r="B38" s="41" t="n"/>
      <c r="C38" s="41" t="n"/>
      <c r="D38" s="41" t="n"/>
      <c r="E38" s="41" t="n"/>
      <c r="F38" s="41" t="n"/>
      <c r="G38" s="41" t="n"/>
      <c r="H38" s="41" t="n"/>
    </row>
    <row r="39">
      <c r="A39" s="41" t="n"/>
      <c r="B39" s="41" t="n"/>
      <c r="C39" s="41" t="n"/>
      <c r="D39" s="41" t="n"/>
      <c r="E39" s="41" t="n"/>
      <c r="F39" s="41" t="n"/>
      <c r="G39" s="41" t="n"/>
      <c r="H39" s="41" t="n"/>
    </row>
    <row r="40">
      <c r="A40" s="41" t="inlineStr">
        <is>
          <t>Standard magnet cube edge sizes (mm) - reference for the magnet cube edge input</t>
        </is>
      </c>
      <c r="B40" s="41" t="n"/>
      <c r="C40" s="41" t="n"/>
      <c r="D40" s="41" t="n"/>
      <c r="E40" s="41" t="n"/>
      <c r="F40" s="41" t="n"/>
      <c r="G40" s="41" t="n"/>
      <c r="H40" s="41" t="n"/>
    </row>
    <row r="41">
      <c r="A41" s="41" t="n">
        <v>0.5</v>
      </c>
      <c r="B41" s="41" t="n"/>
      <c r="C41" s="41" t="n"/>
      <c r="D41" s="41" t="n"/>
      <c r="E41" s="41" t="n"/>
      <c r="F41" s="41" t="n"/>
      <c r="G41" s="41" t="n"/>
      <c r="H41" s="41" t="n"/>
    </row>
    <row r="42">
      <c r="A42" s="41" t="n">
        <v>1</v>
      </c>
      <c r="B42" s="41" t="n"/>
      <c r="C42" s="41" t="n"/>
      <c r="D42" s="41" t="n"/>
      <c r="E42" s="41" t="n"/>
      <c r="F42" s="41" t="n"/>
      <c r="G42" s="41" t="n"/>
      <c r="H42" s="41" t="n"/>
    </row>
    <row r="43">
      <c r="A43" s="41" t="n">
        <v>1.5</v>
      </c>
      <c r="B43" s="41" t="n"/>
      <c r="C43" s="41" t="n"/>
      <c r="D43" s="41" t="n"/>
      <c r="E43" s="41" t="n"/>
      <c r="F43" s="41" t="n"/>
      <c r="G43" s="41" t="n"/>
      <c r="H43" s="41" t="n"/>
    </row>
    <row r="44">
      <c r="A44" s="41" t="n">
        <v>2</v>
      </c>
      <c r="B44" s="41" t="n"/>
      <c r="C44" s="41" t="n"/>
      <c r="D44" s="41" t="n"/>
      <c r="E44" s="41" t="n"/>
      <c r="F44" s="41" t="n"/>
      <c r="G44" s="41" t="n"/>
      <c r="H44" s="41" t="n"/>
    </row>
    <row r="45">
      <c r="A45" s="41" t="n">
        <v>2.5</v>
      </c>
      <c r="B45" s="41" t="n"/>
      <c r="C45" s="41" t="n"/>
      <c r="D45" s="41" t="n"/>
      <c r="E45" s="41" t="n"/>
      <c r="F45" s="41" t="n"/>
      <c r="G45" s="41" t="n"/>
      <c r="H45" s="41" t="n"/>
    </row>
    <row r="46">
      <c r="A46" s="41" t="n">
        <v>3</v>
      </c>
      <c r="B46" s="41" t="n"/>
      <c r="C46" s="41" t="n"/>
      <c r="D46" s="41" t="n"/>
      <c r="E46" s="41" t="n"/>
      <c r="F46" s="41" t="n"/>
      <c r="G46" s="41" t="n"/>
      <c r="H46" s="41" t="n"/>
    </row>
    <row r="47">
      <c r="A47" s="41" t="n">
        <v>3.5</v>
      </c>
      <c r="B47" s="41" t="n"/>
      <c r="C47" s="41" t="n"/>
      <c r="D47" s="41" t="n"/>
      <c r="E47" s="41" t="n"/>
      <c r="F47" s="41" t="n"/>
      <c r="G47" s="41" t="n"/>
      <c r="H47" s="41" t="n"/>
    </row>
    <row r="48">
      <c r="A48" s="41" t="n">
        <v>4</v>
      </c>
      <c r="B48" s="41" t="n"/>
      <c r="C48" s="41" t="n"/>
      <c r="D48" s="41" t="n"/>
      <c r="E48" s="41" t="n"/>
      <c r="F48" s="41" t="n"/>
      <c r="G48" s="41" t="n"/>
      <c r="H48" s="41" t="n"/>
    </row>
    <row r="49">
      <c r="A49" s="41" t="n">
        <v>5</v>
      </c>
      <c r="B49" s="41" t="n"/>
      <c r="C49" s="41" t="n"/>
      <c r="D49" s="41" t="n"/>
      <c r="E49" s="41" t="n"/>
      <c r="F49" s="41" t="n"/>
      <c r="G49" s="41" t="n"/>
      <c r="H49" s="41" t="n"/>
    </row>
    <row r="50">
      <c r="A50" s="41" t="n">
        <v>6</v>
      </c>
      <c r="B50" s="41" t="n"/>
      <c r="C50" s="41" t="n"/>
      <c r="D50" s="41" t="n"/>
      <c r="E50" s="41" t="n"/>
      <c r="F50" s="41" t="n"/>
      <c r="G50" s="41" t="n"/>
      <c r="H50" s="4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2026-05-25T21:17:24Z</dcterms:created>
  <dcterms:modified xsi:type="dcterms:W3CDTF">2026-05-30T13:22:43Z</dcterms:modified>
</cp:coreProperties>
</file>